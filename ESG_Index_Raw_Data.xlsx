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legatuminstitutefoundation-my.sharepoint.com/personal/intern_prosperity_com/Documents/"/>
    </mc:Choice>
  </mc:AlternateContent>
  <xr:revisionPtr revIDLastSave="3901" documentId="8_{3914419B-6076-4FCB-BA34-02CA43AAD389}" xr6:coauthVersionLast="47" xr6:coauthVersionMax="47" xr10:uidLastSave="{BFBB74CE-0E07-4B21-A31C-2DC3298DE16E}"/>
  <bookViews>
    <workbookView minimized="1" xWindow="58360" yWindow="760" windowWidth="28800" windowHeight="15370" xr2:uid="{00000000-000D-0000-FFFF-FFFF00000000}"/>
  </bookViews>
  <sheets>
    <sheet name="ESG Structure" sheetId="1" r:id="rId1"/>
    <sheet name="Environment " sheetId="3" r:id="rId2"/>
    <sheet name="Social" sheetId="4" r:id="rId3"/>
    <sheet name="Governance" sheetId="5" r:id="rId4"/>
    <sheet name="Methods" sheetId="7" r:id="rId5"/>
    <sheet name="Master Company List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9" i="5" l="1"/>
  <c r="K110" i="5"/>
  <c r="K111" i="5"/>
  <c r="K112" i="5"/>
  <c r="K113" i="5"/>
  <c r="K114" i="5"/>
  <c r="L114" i="5" s="1"/>
  <c r="K115" i="5"/>
  <c r="K116" i="5"/>
  <c r="K117" i="5"/>
  <c r="K118" i="5"/>
  <c r="K119" i="5"/>
  <c r="K120" i="5"/>
  <c r="K121" i="5"/>
  <c r="K122" i="5"/>
  <c r="K123" i="5"/>
  <c r="K124" i="5"/>
  <c r="L124" i="5" s="1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L156" i="5" s="1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L184" i="5" s="1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G109" i="5"/>
  <c r="G110" i="5"/>
  <c r="G111" i="5"/>
  <c r="G112" i="5"/>
  <c r="L112" i="5" s="1"/>
  <c r="G113" i="5"/>
  <c r="G114" i="5"/>
  <c r="G115" i="5"/>
  <c r="G116" i="5"/>
  <c r="L116" i="5" s="1"/>
  <c r="G117" i="5"/>
  <c r="L117" i="5" s="1"/>
  <c r="G118" i="5"/>
  <c r="L118" i="5" s="1"/>
  <c r="G119" i="5"/>
  <c r="L119" i="5" s="1"/>
  <c r="G120" i="5"/>
  <c r="L120" i="5" s="1"/>
  <c r="G121" i="5"/>
  <c r="G122" i="5"/>
  <c r="G123" i="5"/>
  <c r="G124" i="5"/>
  <c r="G125" i="5"/>
  <c r="G126" i="5"/>
  <c r="L126" i="5" s="1"/>
  <c r="G127" i="5"/>
  <c r="G128" i="5"/>
  <c r="G129" i="5"/>
  <c r="G130" i="5"/>
  <c r="L130" i="5" s="1"/>
  <c r="G131" i="5"/>
  <c r="L131" i="5" s="1"/>
  <c r="G132" i="5"/>
  <c r="L132" i="5" s="1"/>
  <c r="G133" i="5"/>
  <c r="L133" i="5" s="1"/>
  <c r="G134" i="5"/>
  <c r="L134" i="5" s="1"/>
  <c r="G135" i="5"/>
  <c r="G136" i="5"/>
  <c r="G137" i="5"/>
  <c r="G138" i="5"/>
  <c r="G139" i="5"/>
  <c r="G140" i="5"/>
  <c r="L140" i="5" s="1"/>
  <c r="G141" i="5"/>
  <c r="G142" i="5"/>
  <c r="G143" i="5"/>
  <c r="G144" i="5"/>
  <c r="L144" i="5" s="1"/>
  <c r="G145" i="5"/>
  <c r="L145" i="5" s="1"/>
  <c r="G146" i="5"/>
  <c r="L146" i="5" s="1"/>
  <c r="G147" i="5"/>
  <c r="L147" i="5" s="1"/>
  <c r="G148" i="5"/>
  <c r="L148" i="5" s="1"/>
  <c r="G149" i="5"/>
  <c r="G150" i="5"/>
  <c r="G151" i="5"/>
  <c r="G152" i="5"/>
  <c r="G153" i="5"/>
  <c r="G154" i="5"/>
  <c r="L154" i="5" s="1"/>
  <c r="G155" i="5"/>
  <c r="G156" i="5"/>
  <c r="G157" i="5"/>
  <c r="G158" i="5"/>
  <c r="L158" i="5" s="1"/>
  <c r="G159" i="5"/>
  <c r="L159" i="5" s="1"/>
  <c r="G160" i="5"/>
  <c r="L160" i="5" s="1"/>
  <c r="G161" i="5"/>
  <c r="L161" i="5" s="1"/>
  <c r="G162" i="5"/>
  <c r="L162" i="5" s="1"/>
  <c r="G163" i="5"/>
  <c r="G164" i="5"/>
  <c r="G165" i="5"/>
  <c r="G166" i="5"/>
  <c r="G167" i="5"/>
  <c r="G168" i="5"/>
  <c r="L168" i="5" s="1"/>
  <c r="G169" i="5"/>
  <c r="G170" i="5"/>
  <c r="G171" i="5"/>
  <c r="G172" i="5"/>
  <c r="L172" i="5" s="1"/>
  <c r="G173" i="5"/>
  <c r="L173" i="5" s="1"/>
  <c r="G174" i="5"/>
  <c r="L174" i="5" s="1"/>
  <c r="G175" i="5"/>
  <c r="L175" i="5" s="1"/>
  <c r="G176" i="5"/>
  <c r="L176" i="5" s="1"/>
  <c r="G177" i="5"/>
  <c r="G178" i="5"/>
  <c r="G179" i="5"/>
  <c r="G180" i="5"/>
  <c r="G181" i="5"/>
  <c r="G182" i="5"/>
  <c r="L182" i="5" s="1"/>
  <c r="G183" i="5"/>
  <c r="G184" i="5"/>
  <c r="G185" i="5"/>
  <c r="G186" i="5"/>
  <c r="L186" i="5" s="1"/>
  <c r="G187" i="5"/>
  <c r="L187" i="5" s="1"/>
  <c r="G188" i="5"/>
  <c r="L188" i="5" s="1"/>
  <c r="G189" i="5"/>
  <c r="L189" i="5" s="1"/>
  <c r="G190" i="5"/>
  <c r="L190" i="5" s="1"/>
  <c r="G191" i="5"/>
  <c r="G192" i="5"/>
  <c r="G193" i="5"/>
  <c r="G194" i="5"/>
  <c r="G195" i="5"/>
  <c r="G196" i="5"/>
  <c r="L196" i="5" s="1"/>
  <c r="G197" i="5"/>
  <c r="G198" i="5"/>
  <c r="G199" i="5"/>
  <c r="G200" i="5"/>
  <c r="L200" i="5" s="1"/>
  <c r="G201" i="5"/>
  <c r="L201" i="5" s="1"/>
  <c r="G202" i="5"/>
  <c r="L202" i="5" s="1"/>
  <c r="G203" i="5"/>
  <c r="L203" i="5" s="1"/>
  <c r="G204" i="5"/>
  <c r="L204" i="5" s="1"/>
  <c r="G205" i="5"/>
  <c r="G206" i="5"/>
  <c r="G207" i="5"/>
  <c r="G208" i="5"/>
  <c r="F208" i="5"/>
  <c r="E208" i="5"/>
  <c r="D208" i="5"/>
  <c r="C208" i="5"/>
  <c r="F207" i="5"/>
  <c r="E207" i="5"/>
  <c r="D207" i="5"/>
  <c r="C207" i="5"/>
  <c r="F206" i="5"/>
  <c r="E206" i="5"/>
  <c r="D206" i="5"/>
  <c r="C206" i="5"/>
  <c r="F205" i="5"/>
  <c r="E205" i="5"/>
  <c r="D205" i="5"/>
  <c r="C205" i="5"/>
  <c r="F204" i="5"/>
  <c r="E204" i="5"/>
  <c r="D204" i="5"/>
  <c r="C204" i="5"/>
  <c r="F203" i="5"/>
  <c r="E203" i="5"/>
  <c r="D203" i="5"/>
  <c r="C203" i="5"/>
  <c r="F202" i="5"/>
  <c r="E202" i="5"/>
  <c r="D202" i="5"/>
  <c r="C202" i="5"/>
  <c r="F201" i="5"/>
  <c r="E201" i="5"/>
  <c r="D201" i="5"/>
  <c r="C201" i="5"/>
  <c r="F200" i="5"/>
  <c r="E200" i="5"/>
  <c r="D200" i="5"/>
  <c r="C200" i="5"/>
  <c r="F199" i="5"/>
  <c r="E199" i="5"/>
  <c r="D199" i="5"/>
  <c r="C199" i="5"/>
  <c r="F198" i="5"/>
  <c r="E198" i="5"/>
  <c r="D198" i="5"/>
  <c r="C198" i="5"/>
  <c r="F197" i="5"/>
  <c r="E197" i="5"/>
  <c r="D197" i="5"/>
  <c r="C197" i="5"/>
  <c r="F196" i="5"/>
  <c r="E196" i="5"/>
  <c r="D196" i="5"/>
  <c r="C196" i="5"/>
  <c r="F195" i="5"/>
  <c r="E195" i="5"/>
  <c r="D195" i="5"/>
  <c r="C195" i="5"/>
  <c r="F194" i="5"/>
  <c r="E194" i="5"/>
  <c r="D194" i="5"/>
  <c r="C194" i="5"/>
  <c r="F193" i="5"/>
  <c r="E193" i="5"/>
  <c r="D193" i="5"/>
  <c r="C193" i="5"/>
  <c r="F192" i="5"/>
  <c r="E192" i="5"/>
  <c r="D192" i="5"/>
  <c r="C192" i="5"/>
  <c r="F191" i="5"/>
  <c r="E191" i="5"/>
  <c r="D191" i="5"/>
  <c r="C191" i="5"/>
  <c r="F190" i="5"/>
  <c r="E190" i="5"/>
  <c r="D190" i="5"/>
  <c r="C190" i="5"/>
  <c r="F189" i="5"/>
  <c r="E189" i="5"/>
  <c r="D189" i="5"/>
  <c r="C189" i="5"/>
  <c r="F188" i="5"/>
  <c r="E188" i="5"/>
  <c r="D188" i="5"/>
  <c r="C188" i="5"/>
  <c r="F187" i="5"/>
  <c r="E187" i="5"/>
  <c r="D187" i="5"/>
  <c r="C187" i="5"/>
  <c r="F186" i="5"/>
  <c r="E186" i="5"/>
  <c r="D186" i="5"/>
  <c r="C186" i="5"/>
  <c r="F185" i="5"/>
  <c r="E185" i="5"/>
  <c r="D185" i="5"/>
  <c r="C185" i="5"/>
  <c r="F184" i="5"/>
  <c r="E184" i="5"/>
  <c r="D184" i="5"/>
  <c r="C184" i="5"/>
  <c r="F183" i="5"/>
  <c r="E183" i="5"/>
  <c r="D183" i="5"/>
  <c r="C183" i="5"/>
  <c r="F182" i="5"/>
  <c r="E182" i="5"/>
  <c r="D182" i="5"/>
  <c r="C182" i="5"/>
  <c r="F181" i="5"/>
  <c r="E181" i="5"/>
  <c r="D181" i="5"/>
  <c r="C181" i="5"/>
  <c r="F180" i="5"/>
  <c r="E180" i="5"/>
  <c r="D180" i="5"/>
  <c r="C180" i="5"/>
  <c r="F179" i="5"/>
  <c r="E179" i="5"/>
  <c r="D179" i="5"/>
  <c r="C179" i="5"/>
  <c r="F178" i="5"/>
  <c r="E178" i="5"/>
  <c r="D178" i="5"/>
  <c r="C178" i="5"/>
  <c r="F177" i="5"/>
  <c r="E177" i="5"/>
  <c r="D177" i="5"/>
  <c r="C177" i="5"/>
  <c r="F176" i="5"/>
  <c r="E176" i="5"/>
  <c r="D176" i="5"/>
  <c r="C176" i="5"/>
  <c r="F175" i="5"/>
  <c r="E175" i="5"/>
  <c r="D175" i="5"/>
  <c r="C175" i="5"/>
  <c r="F174" i="5"/>
  <c r="E174" i="5"/>
  <c r="D174" i="5"/>
  <c r="C174" i="5"/>
  <c r="F173" i="5"/>
  <c r="E173" i="5"/>
  <c r="D173" i="5"/>
  <c r="C173" i="5"/>
  <c r="F172" i="5"/>
  <c r="E172" i="5"/>
  <c r="D172" i="5"/>
  <c r="C172" i="5"/>
  <c r="F171" i="5"/>
  <c r="E171" i="5"/>
  <c r="D171" i="5"/>
  <c r="C171" i="5"/>
  <c r="F170" i="5"/>
  <c r="E170" i="5"/>
  <c r="D170" i="5"/>
  <c r="C170" i="5"/>
  <c r="F169" i="5"/>
  <c r="E169" i="5"/>
  <c r="D169" i="5"/>
  <c r="C169" i="5"/>
  <c r="F168" i="5"/>
  <c r="E168" i="5"/>
  <c r="D168" i="5"/>
  <c r="C168" i="5"/>
  <c r="F167" i="5"/>
  <c r="E167" i="5"/>
  <c r="D167" i="5"/>
  <c r="C167" i="5"/>
  <c r="F166" i="5"/>
  <c r="E166" i="5"/>
  <c r="D166" i="5"/>
  <c r="C166" i="5"/>
  <c r="F165" i="5"/>
  <c r="E165" i="5"/>
  <c r="D165" i="5"/>
  <c r="C165" i="5"/>
  <c r="F164" i="5"/>
  <c r="E164" i="5"/>
  <c r="D164" i="5"/>
  <c r="C164" i="5"/>
  <c r="F163" i="5"/>
  <c r="E163" i="5"/>
  <c r="D163" i="5"/>
  <c r="C163" i="5"/>
  <c r="F162" i="5"/>
  <c r="E162" i="5"/>
  <c r="D162" i="5"/>
  <c r="C162" i="5"/>
  <c r="F161" i="5"/>
  <c r="E161" i="5"/>
  <c r="D161" i="5"/>
  <c r="C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C157" i="5"/>
  <c r="F156" i="5"/>
  <c r="E156" i="5"/>
  <c r="D156" i="5"/>
  <c r="C156" i="5"/>
  <c r="F155" i="5"/>
  <c r="E155" i="5"/>
  <c r="D155" i="5"/>
  <c r="C155" i="5"/>
  <c r="F154" i="5"/>
  <c r="E154" i="5"/>
  <c r="D154" i="5"/>
  <c r="C154" i="5"/>
  <c r="F153" i="5"/>
  <c r="E153" i="5"/>
  <c r="D153" i="5"/>
  <c r="C153" i="5"/>
  <c r="F152" i="5"/>
  <c r="E152" i="5"/>
  <c r="D152" i="5"/>
  <c r="C152" i="5"/>
  <c r="F151" i="5"/>
  <c r="E151" i="5"/>
  <c r="D151" i="5"/>
  <c r="C151" i="5"/>
  <c r="F150" i="5"/>
  <c r="E150" i="5"/>
  <c r="D150" i="5"/>
  <c r="C150" i="5"/>
  <c r="F149" i="5"/>
  <c r="E149" i="5"/>
  <c r="D149" i="5"/>
  <c r="C149" i="5"/>
  <c r="F148" i="5"/>
  <c r="E148" i="5"/>
  <c r="D148" i="5"/>
  <c r="C148" i="5"/>
  <c r="F147" i="5"/>
  <c r="E147" i="5"/>
  <c r="D147" i="5"/>
  <c r="C147" i="5"/>
  <c r="F146" i="5"/>
  <c r="E146" i="5"/>
  <c r="D146" i="5"/>
  <c r="C146" i="5"/>
  <c r="F145" i="5"/>
  <c r="E145" i="5"/>
  <c r="D145" i="5"/>
  <c r="C145" i="5"/>
  <c r="F144" i="5"/>
  <c r="E144" i="5"/>
  <c r="D144" i="5"/>
  <c r="F143" i="5"/>
  <c r="E143" i="5"/>
  <c r="D143" i="5"/>
  <c r="C143" i="5"/>
  <c r="F142" i="5"/>
  <c r="E142" i="5"/>
  <c r="D142" i="5"/>
  <c r="C142" i="5"/>
  <c r="F141" i="5"/>
  <c r="E141" i="5"/>
  <c r="D141" i="5"/>
  <c r="C141" i="5"/>
  <c r="F140" i="5"/>
  <c r="E140" i="5"/>
  <c r="D140" i="5"/>
  <c r="C140" i="5"/>
  <c r="F139" i="5"/>
  <c r="E139" i="5"/>
  <c r="D139" i="5"/>
  <c r="C139" i="5"/>
  <c r="F138" i="5"/>
  <c r="E138" i="5"/>
  <c r="D138" i="5"/>
  <c r="C138" i="5"/>
  <c r="F137" i="5"/>
  <c r="E137" i="5"/>
  <c r="D137" i="5"/>
  <c r="C137" i="5"/>
  <c r="F136" i="5"/>
  <c r="E136" i="5"/>
  <c r="D136" i="5"/>
  <c r="C136" i="5"/>
  <c r="F135" i="5"/>
  <c r="E135" i="5"/>
  <c r="D135" i="5"/>
  <c r="F134" i="5"/>
  <c r="E134" i="5"/>
  <c r="D134" i="5"/>
  <c r="C134" i="5"/>
  <c r="F133" i="5"/>
  <c r="E133" i="5"/>
  <c r="D133" i="5"/>
  <c r="C133" i="5"/>
  <c r="F132" i="5"/>
  <c r="E132" i="5"/>
  <c r="D132" i="5"/>
  <c r="C132" i="5"/>
  <c r="F131" i="5"/>
  <c r="E131" i="5"/>
  <c r="D131" i="5"/>
  <c r="C131" i="5"/>
  <c r="F130" i="5"/>
  <c r="E130" i="5"/>
  <c r="D130" i="5"/>
  <c r="C130" i="5"/>
  <c r="F129" i="5"/>
  <c r="E129" i="5"/>
  <c r="D129" i="5"/>
  <c r="C129" i="5"/>
  <c r="F128" i="5"/>
  <c r="E128" i="5"/>
  <c r="D128" i="5"/>
  <c r="C128" i="5"/>
  <c r="F127" i="5"/>
  <c r="E127" i="5"/>
  <c r="D127" i="5"/>
  <c r="C127" i="5"/>
  <c r="F126" i="5"/>
  <c r="E126" i="5"/>
  <c r="D126" i="5"/>
  <c r="C126" i="5"/>
  <c r="F125" i="5"/>
  <c r="E125" i="5"/>
  <c r="D125" i="5"/>
  <c r="C125" i="5"/>
  <c r="F124" i="5"/>
  <c r="E124" i="5"/>
  <c r="D124" i="5"/>
  <c r="C124" i="5"/>
  <c r="F123" i="5"/>
  <c r="E123" i="5"/>
  <c r="D123" i="5"/>
  <c r="F122" i="5"/>
  <c r="E122" i="5"/>
  <c r="D122" i="5"/>
  <c r="C122" i="5"/>
  <c r="F121" i="5"/>
  <c r="E121" i="5"/>
  <c r="D121" i="5"/>
  <c r="C121" i="5"/>
  <c r="F120" i="5"/>
  <c r="E120" i="5"/>
  <c r="D120" i="5"/>
  <c r="C120" i="5"/>
  <c r="F119" i="5"/>
  <c r="E119" i="5"/>
  <c r="D119" i="5"/>
  <c r="C119" i="5"/>
  <c r="F118" i="5"/>
  <c r="E118" i="5"/>
  <c r="D118" i="5"/>
  <c r="C118" i="5"/>
  <c r="F117" i="5"/>
  <c r="E117" i="5"/>
  <c r="D117" i="5"/>
  <c r="C117" i="5"/>
  <c r="F116" i="5"/>
  <c r="E116" i="5"/>
  <c r="D116" i="5"/>
  <c r="C116" i="5"/>
  <c r="F115" i="5"/>
  <c r="E115" i="5"/>
  <c r="D115" i="5"/>
  <c r="F114" i="5"/>
  <c r="E114" i="5"/>
  <c r="D114" i="5"/>
  <c r="C114" i="5"/>
  <c r="F113" i="5"/>
  <c r="E113" i="5"/>
  <c r="D113" i="5"/>
  <c r="C113" i="5"/>
  <c r="F112" i="5"/>
  <c r="E112" i="5"/>
  <c r="D112" i="5"/>
  <c r="C112" i="5"/>
  <c r="F111" i="5"/>
  <c r="E111" i="5"/>
  <c r="D111" i="5"/>
  <c r="C111" i="5"/>
  <c r="F110" i="5"/>
  <c r="E110" i="5"/>
  <c r="D110" i="5"/>
  <c r="C110" i="5"/>
  <c r="F109" i="5"/>
  <c r="E109" i="5"/>
  <c r="D109" i="5"/>
  <c r="C109" i="5"/>
  <c r="H110" i="5"/>
  <c r="I110" i="5"/>
  <c r="J110" i="5"/>
  <c r="H111" i="5"/>
  <c r="I111" i="5"/>
  <c r="J111" i="5"/>
  <c r="H112" i="5"/>
  <c r="I112" i="5"/>
  <c r="J112" i="5"/>
  <c r="H113" i="5"/>
  <c r="I113" i="5"/>
  <c r="J113" i="5"/>
  <c r="H114" i="5"/>
  <c r="I114" i="5"/>
  <c r="J114" i="5"/>
  <c r="H115" i="5"/>
  <c r="I115" i="5"/>
  <c r="J115" i="5"/>
  <c r="H116" i="5"/>
  <c r="I116" i="5"/>
  <c r="J116" i="5"/>
  <c r="H117" i="5"/>
  <c r="I117" i="5"/>
  <c r="J117" i="5"/>
  <c r="H118" i="5"/>
  <c r="I118" i="5"/>
  <c r="J118" i="5"/>
  <c r="H119" i="5"/>
  <c r="I119" i="5"/>
  <c r="J119" i="5"/>
  <c r="H120" i="5"/>
  <c r="I120" i="5"/>
  <c r="J120" i="5"/>
  <c r="H121" i="5"/>
  <c r="I121" i="5"/>
  <c r="J121" i="5"/>
  <c r="H122" i="5"/>
  <c r="I122" i="5"/>
  <c r="J122" i="5"/>
  <c r="H123" i="5"/>
  <c r="I123" i="5"/>
  <c r="J123" i="5"/>
  <c r="H124" i="5"/>
  <c r="I124" i="5"/>
  <c r="J124" i="5"/>
  <c r="H125" i="5"/>
  <c r="I125" i="5"/>
  <c r="J125" i="5"/>
  <c r="H126" i="5"/>
  <c r="I126" i="5"/>
  <c r="J126" i="5"/>
  <c r="H127" i="5"/>
  <c r="I127" i="5"/>
  <c r="J127" i="5"/>
  <c r="H128" i="5"/>
  <c r="I128" i="5"/>
  <c r="J128" i="5"/>
  <c r="H129" i="5"/>
  <c r="I129" i="5"/>
  <c r="J129" i="5"/>
  <c r="H130" i="5"/>
  <c r="I130" i="5"/>
  <c r="J130" i="5"/>
  <c r="H131" i="5"/>
  <c r="I131" i="5"/>
  <c r="J131" i="5"/>
  <c r="H132" i="5"/>
  <c r="I132" i="5"/>
  <c r="J132" i="5"/>
  <c r="H133" i="5"/>
  <c r="I133" i="5"/>
  <c r="J133" i="5"/>
  <c r="H134" i="5"/>
  <c r="I134" i="5"/>
  <c r="J134" i="5"/>
  <c r="H135" i="5"/>
  <c r="I135" i="5"/>
  <c r="J135" i="5"/>
  <c r="H136" i="5"/>
  <c r="I136" i="5"/>
  <c r="J136" i="5"/>
  <c r="H137" i="5"/>
  <c r="I137" i="5"/>
  <c r="J137" i="5"/>
  <c r="H138" i="5"/>
  <c r="I138" i="5"/>
  <c r="J138" i="5"/>
  <c r="H139" i="5"/>
  <c r="I139" i="5"/>
  <c r="J139" i="5"/>
  <c r="H140" i="5"/>
  <c r="I140" i="5"/>
  <c r="J140" i="5"/>
  <c r="H141" i="5"/>
  <c r="I141" i="5"/>
  <c r="J141" i="5"/>
  <c r="H142" i="5"/>
  <c r="I142" i="5"/>
  <c r="J142" i="5"/>
  <c r="H143" i="5"/>
  <c r="I143" i="5"/>
  <c r="J143" i="5"/>
  <c r="H144" i="5"/>
  <c r="I144" i="5"/>
  <c r="J144" i="5"/>
  <c r="H145" i="5"/>
  <c r="I145" i="5"/>
  <c r="J145" i="5"/>
  <c r="H146" i="5"/>
  <c r="I146" i="5"/>
  <c r="J146" i="5"/>
  <c r="H147" i="5"/>
  <c r="I147" i="5"/>
  <c r="J147" i="5"/>
  <c r="H148" i="5"/>
  <c r="I148" i="5"/>
  <c r="J148" i="5"/>
  <c r="H149" i="5"/>
  <c r="I149" i="5"/>
  <c r="J149" i="5"/>
  <c r="H150" i="5"/>
  <c r="I150" i="5"/>
  <c r="J150" i="5"/>
  <c r="H151" i="5"/>
  <c r="I151" i="5"/>
  <c r="J151" i="5"/>
  <c r="H152" i="5"/>
  <c r="I152" i="5"/>
  <c r="J152" i="5"/>
  <c r="H153" i="5"/>
  <c r="I153" i="5"/>
  <c r="J153" i="5"/>
  <c r="H154" i="5"/>
  <c r="I154" i="5"/>
  <c r="J154" i="5"/>
  <c r="H155" i="5"/>
  <c r="I155" i="5"/>
  <c r="J155" i="5"/>
  <c r="H156" i="5"/>
  <c r="I156" i="5"/>
  <c r="J156" i="5"/>
  <c r="H157" i="5"/>
  <c r="I157" i="5"/>
  <c r="J157" i="5"/>
  <c r="H158" i="5"/>
  <c r="I158" i="5"/>
  <c r="J158" i="5"/>
  <c r="H159" i="5"/>
  <c r="I159" i="5"/>
  <c r="J159" i="5"/>
  <c r="H160" i="5"/>
  <c r="I160" i="5"/>
  <c r="J160" i="5"/>
  <c r="H161" i="5"/>
  <c r="I161" i="5"/>
  <c r="J161" i="5"/>
  <c r="H162" i="5"/>
  <c r="I162" i="5"/>
  <c r="J162" i="5"/>
  <c r="H163" i="5"/>
  <c r="I163" i="5"/>
  <c r="J163" i="5"/>
  <c r="H164" i="5"/>
  <c r="I164" i="5"/>
  <c r="J164" i="5"/>
  <c r="H165" i="5"/>
  <c r="I165" i="5"/>
  <c r="J165" i="5"/>
  <c r="H166" i="5"/>
  <c r="I166" i="5"/>
  <c r="J166" i="5"/>
  <c r="H167" i="5"/>
  <c r="I167" i="5"/>
  <c r="J167" i="5"/>
  <c r="H168" i="5"/>
  <c r="I168" i="5"/>
  <c r="J168" i="5"/>
  <c r="H169" i="5"/>
  <c r="I169" i="5"/>
  <c r="J169" i="5"/>
  <c r="H170" i="5"/>
  <c r="I170" i="5"/>
  <c r="J170" i="5"/>
  <c r="H171" i="5"/>
  <c r="I171" i="5"/>
  <c r="J171" i="5"/>
  <c r="H172" i="5"/>
  <c r="I172" i="5"/>
  <c r="J172" i="5"/>
  <c r="H173" i="5"/>
  <c r="I173" i="5"/>
  <c r="J173" i="5"/>
  <c r="H174" i="5"/>
  <c r="I174" i="5"/>
  <c r="J174" i="5"/>
  <c r="H175" i="5"/>
  <c r="I175" i="5"/>
  <c r="J175" i="5"/>
  <c r="H176" i="5"/>
  <c r="I176" i="5"/>
  <c r="J176" i="5"/>
  <c r="H177" i="5"/>
  <c r="I177" i="5"/>
  <c r="J177" i="5"/>
  <c r="H178" i="5"/>
  <c r="I178" i="5"/>
  <c r="J178" i="5"/>
  <c r="H179" i="5"/>
  <c r="I179" i="5"/>
  <c r="J179" i="5"/>
  <c r="H180" i="5"/>
  <c r="I180" i="5"/>
  <c r="J180" i="5"/>
  <c r="H181" i="5"/>
  <c r="I181" i="5"/>
  <c r="J181" i="5"/>
  <c r="H182" i="5"/>
  <c r="I182" i="5"/>
  <c r="J182" i="5"/>
  <c r="H183" i="5"/>
  <c r="I183" i="5"/>
  <c r="J183" i="5"/>
  <c r="H184" i="5"/>
  <c r="I184" i="5"/>
  <c r="J184" i="5"/>
  <c r="H185" i="5"/>
  <c r="I185" i="5"/>
  <c r="J185" i="5"/>
  <c r="H186" i="5"/>
  <c r="I186" i="5"/>
  <c r="J186" i="5"/>
  <c r="H187" i="5"/>
  <c r="I187" i="5"/>
  <c r="J187" i="5"/>
  <c r="H188" i="5"/>
  <c r="I188" i="5"/>
  <c r="J188" i="5"/>
  <c r="H189" i="5"/>
  <c r="I189" i="5"/>
  <c r="J189" i="5"/>
  <c r="H190" i="5"/>
  <c r="I190" i="5"/>
  <c r="J190" i="5"/>
  <c r="H191" i="5"/>
  <c r="I191" i="5"/>
  <c r="J191" i="5"/>
  <c r="H192" i="5"/>
  <c r="I192" i="5"/>
  <c r="J192" i="5"/>
  <c r="H193" i="5"/>
  <c r="I193" i="5"/>
  <c r="J193" i="5"/>
  <c r="H194" i="5"/>
  <c r="I194" i="5"/>
  <c r="J194" i="5"/>
  <c r="H195" i="5"/>
  <c r="I195" i="5"/>
  <c r="J195" i="5"/>
  <c r="H196" i="5"/>
  <c r="I196" i="5"/>
  <c r="J196" i="5"/>
  <c r="H197" i="5"/>
  <c r="I197" i="5"/>
  <c r="J197" i="5"/>
  <c r="H198" i="5"/>
  <c r="I198" i="5"/>
  <c r="J198" i="5"/>
  <c r="H199" i="5"/>
  <c r="I199" i="5"/>
  <c r="J199" i="5"/>
  <c r="H200" i="5"/>
  <c r="I200" i="5"/>
  <c r="J200" i="5"/>
  <c r="H201" i="5"/>
  <c r="I201" i="5"/>
  <c r="J201" i="5"/>
  <c r="H202" i="5"/>
  <c r="I202" i="5"/>
  <c r="J202" i="5"/>
  <c r="H203" i="5"/>
  <c r="I203" i="5"/>
  <c r="J203" i="5"/>
  <c r="H204" i="5"/>
  <c r="I204" i="5"/>
  <c r="J204" i="5"/>
  <c r="H205" i="5"/>
  <c r="I205" i="5"/>
  <c r="J205" i="5"/>
  <c r="H206" i="5"/>
  <c r="I206" i="5"/>
  <c r="J206" i="5"/>
  <c r="H207" i="5"/>
  <c r="I207" i="5"/>
  <c r="J207" i="5"/>
  <c r="H208" i="5"/>
  <c r="I208" i="5"/>
  <c r="J208" i="5"/>
  <c r="J109" i="5"/>
  <c r="I109" i="5"/>
  <c r="H109" i="5"/>
  <c r="L109" i="5"/>
  <c r="L110" i="5"/>
  <c r="L113" i="5"/>
  <c r="L115" i="5"/>
  <c r="L123" i="5"/>
  <c r="L127" i="5"/>
  <c r="L128" i="5"/>
  <c r="L129" i="5"/>
  <c r="L137" i="5"/>
  <c r="L138" i="5"/>
  <c r="L141" i="5"/>
  <c r="L142" i="5"/>
  <c r="L143" i="5"/>
  <c r="L151" i="5"/>
  <c r="L152" i="5"/>
  <c r="L155" i="5"/>
  <c r="L157" i="5"/>
  <c r="L165" i="5"/>
  <c r="L166" i="5"/>
  <c r="L169" i="5"/>
  <c r="L170" i="5"/>
  <c r="L171" i="5"/>
  <c r="L179" i="5"/>
  <c r="L180" i="5"/>
  <c r="L183" i="5"/>
  <c r="L185" i="5"/>
  <c r="L193" i="5"/>
  <c r="L194" i="5"/>
  <c r="L197" i="5"/>
  <c r="L198" i="5"/>
  <c r="L199" i="5"/>
  <c r="L207" i="5"/>
  <c r="L208" i="5"/>
  <c r="E122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G109" i="3"/>
  <c r="P2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200" i="4"/>
  <c r="P201" i="4"/>
  <c r="P202" i="4"/>
  <c r="P203" i="4"/>
  <c r="P204" i="4"/>
  <c r="P205" i="4"/>
  <c r="P206" i="4"/>
  <c r="P207" i="4"/>
  <c r="P208" i="4"/>
  <c r="J3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L110" i="4"/>
  <c r="L111" i="4"/>
  <c r="L112" i="4"/>
  <c r="L113" i="4"/>
  <c r="L114" i="4"/>
  <c r="L115" i="4"/>
  <c r="L116" i="4"/>
  <c r="L117" i="4"/>
  <c r="L118" i="4"/>
  <c r="L119" i="4"/>
  <c r="L120" i="4"/>
  <c r="O120" i="4" s="1"/>
  <c r="K14" i="1" s="1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I110" i="4"/>
  <c r="K110" i="4" s="1"/>
  <c r="I111" i="4"/>
  <c r="I112" i="4"/>
  <c r="K112" i="4" s="1"/>
  <c r="I113" i="4"/>
  <c r="K113" i="4" s="1"/>
  <c r="I114" i="4"/>
  <c r="K114" i="4" s="1"/>
  <c r="I115" i="4"/>
  <c r="K115" i="4" s="1"/>
  <c r="I116" i="4"/>
  <c r="I117" i="4"/>
  <c r="I118" i="4"/>
  <c r="I119" i="4"/>
  <c r="K119" i="4" s="1"/>
  <c r="I120" i="4"/>
  <c r="K120" i="4" s="1"/>
  <c r="I121" i="4"/>
  <c r="I122" i="4"/>
  <c r="I123" i="4"/>
  <c r="K123" i="4" s="1"/>
  <c r="I124" i="4"/>
  <c r="K124" i="4" s="1"/>
  <c r="I125" i="4"/>
  <c r="K125" i="4" s="1"/>
  <c r="I126" i="4"/>
  <c r="K126" i="4" s="1"/>
  <c r="I127" i="4"/>
  <c r="K127" i="4" s="1"/>
  <c r="I128" i="4"/>
  <c r="K128" i="4" s="1"/>
  <c r="I129" i="4"/>
  <c r="K129" i="4" s="1"/>
  <c r="I130" i="4"/>
  <c r="I131" i="4"/>
  <c r="I132" i="4"/>
  <c r="I133" i="4"/>
  <c r="I134" i="4"/>
  <c r="I135" i="4"/>
  <c r="I136" i="4"/>
  <c r="I137" i="4"/>
  <c r="K137" i="4" s="1"/>
  <c r="I138" i="4"/>
  <c r="K138" i="4" s="1"/>
  <c r="I139" i="4"/>
  <c r="K139" i="4" s="1"/>
  <c r="I140" i="4"/>
  <c r="K140" i="4" s="1"/>
  <c r="I141" i="4"/>
  <c r="K141" i="4" s="1"/>
  <c r="I142" i="4"/>
  <c r="K142" i="4" s="1"/>
  <c r="I143" i="4"/>
  <c r="K143" i="4" s="1"/>
  <c r="I144" i="4"/>
  <c r="I145" i="4"/>
  <c r="I146" i="4"/>
  <c r="I147" i="4"/>
  <c r="I148" i="4"/>
  <c r="I149" i="4"/>
  <c r="I150" i="4"/>
  <c r="I151" i="4"/>
  <c r="K151" i="4" s="1"/>
  <c r="I152" i="4"/>
  <c r="K152" i="4" s="1"/>
  <c r="I153" i="4"/>
  <c r="K153" i="4" s="1"/>
  <c r="I154" i="4"/>
  <c r="K154" i="4" s="1"/>
  <c r="I155" i="4"/>
  <c r="K155" i="4" s="1"/>
  <c r="I156" i="4"/>
  <c r="K156" i="4" s="1"/>
  <c r="I157" i="4"/>
  <c r="K157" i="4" s="1"/>
  <c r="I158" i="4"/>
  <c r="I159" i="4"/>
  <c r="I160" i="4"/>
  <c r="I161" i="4"/>
  <c r="K161" i="4" s="1"/>
  <c r="I162" i="4"/>
  <c r="K162" i="4" s="1"/>
  <c r="I163" i="4"/>
  <c r="I164" i="4"/>
  <c r="I165" i="4"/>
  <c r="K165" i="4" s="1"/>
  <c r="I166" i="4"/>
  <c r="K166" i="4" s="1"/>
  <c r="I167" i="4"/>
  <c r="K167" i="4" s="1"/>
  <c r="I168" i="4"/>
  <c r="K168" i="4" s="1"/>
  <c r="I169" i="4"/>
  <c r="K169" i="4" s="1"/>
  <c r="I170" i="4"/>
  <c r="K170" i="4" s="1"/>
  <c r="I171" i="4"/>
  <c r="K171" i="4" s="1"/>
  <c r="I172" i="4"/>
  <c r="I173" i="4"/>
  <c r="I174" i="4"/>
  <c r="I175" i="4"/>
  <c r="K175" i="4" s="1"/>
  <c r="I176" i="4"/>
  <c r="K176" i="4" s="1"/>
  <c r="I177" i="4"/>
  <c r="I178" i="4"/>
  <c r="I179" i="4"/>
  <c r="K179" i="4" s="1"/>
  <c r="I180" i="4"/>
  <c r="K180" i="4" s="1"/>
  <c r="I181" i="4"/>
  <c r="K181" i="4" s="1"/>
  <c r="I182" i="4"/>
  <c r="K182" i="4" s="1"/>
  <c r="I183" i="4"/>
  <c r="K183" i="4" s="1"/>
  <c r="I184" i="4"/>
  <c r="K184" i="4" s="1"/>
  <c r="I185" i="4"/>
  <c r="K185" i="4" s="1"/>
  <c r="I186" i="4"/>
  <c r="I187" i="4"/>
  <c r="I188" i="4"/>
  <c r="I189" i="4"/>
  <c r="K189" i="4" s="1"/>
  <c r="I190" i="4"/>
  <c r="K190" i="4" s="1"/>
  <c r="I191" i="4"/>
  <c r="I192" i="4"/>
  <c r="I193" i="4"/>
  <c r="K193" i="4" s="1"/>
  <c r="I194" i="4"/>
  <c r="K194" i="4" s="1"/>
  <c r="I195" i="4"/>
  <c r="K195" i="4" s="1"/>
  <c r="I196" i="4"/>
  <c r="K196" i="4" s="1"/>
  <c r="I197" i="4"/>
  <c r="K197" i="4" s="1"/>
  <c r="I198" i="4"/>
  <c r="K198" i="4" s="1"/>
  <c r="I199" i="4"/>
  <c r="K199" i="4" s="1"/>
  <c r="I200" i="4"/>
  <c r="I201" i="4"/>
  <c r="I202" i="4"/>
  <c r="I203" i="4"/>
  <c r="K203" i="4" s="1"/>
  <c r="I204" i="4"/>
  <c r="K204" i="4" s="1"/>
  <c r="I205" i="4"/>
  <c r="I206" i="4"/>
  <c r="I207" i="4"/>
  <c r="K207" i="4" s="1"/>
  <c r="I208" i="4"/>
  <c r="K208" i="4" s="1"/>
  <c r="I209" i="4"/>
  <c r="K209" i="4" s="1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M109" i="3"/>
  <c r="M110" i="3"/>
  <c r="M111" i="3"/>
  <c r="M112" i="3"/>
  <c r="M113" i="3"/>
  <c r="M114" i="3"/>
  <c r="M116" i="3"/>
  <c r="M117" i="3"/>
  <c r="M118" i="3"/>
  <c r="M119" i="3"/>
  <c r="M120" i="3"/>
  <c r="M121" i="3"/>
  <c r="M122" i="3"/>
  <c r="M124" i="3"/>
  <c r="M125" i="3"/>
  <c r="M126" i="3"/>
  <c r="M127" i="3"/>
  <c r="M128" i="3"/>
  <c r="M129" i="3"/>
  <c r="M130" i="3"/>
  <c r="M131" i="3"/>
  <c r="M132" i="3"/>
  <c r="M133" i="3"/>
  <c r="M134" i="3"/>
  <c r="M136" i="3"/>
  <c r="M137" i="3"/>
  <c r="M138" i="3"/>
  <c r="M139" i="3"/>
  <c r="M140" i="3"/>
  <c r="M141" i="3"/>
  <c r="M142" i="3"/>
  <c r="M143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6" i="3"/>
  <c r="I177" i="3"/>
  <c r="I178" i="3"/>
  <c r="I179" i="3"/>
  <c r="I180" i="3"/>
  <c r="I181" i="3"/>
  <c r="I182" i="3"/>
  <c r="I183" i="3"/>
  <c r="I184" i="3"/>
  <c r="I185" i="3"/>
  <c r="I186" i="3"/>
  <c r="I188" i="3"/>
  <c r="I189" i="3"/>
  <c r="I190" i="3"/>
  <c r="I191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95" i="3"/>
  <c r="I88" i="3"/>
  <c r="I192" i="3" s="1"/>
  <c r="I83" i="3"/>
  <c r="I187" i="3" s="1"/>
  <c r="I71" i="3"/>
  <c r="I175" i="3" s="1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F203" i="3"/>
  <c r="N123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F202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C208" i="3"/>
  <c r="F2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4" i="3"/>
  <c r="F205" i="3"/>
  <c r="F206" i="3"/>
  <c r="F207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L195" i="5" l="1"/>
  <c r="L181" i="5"/>
  <c r="L167" i="5"/>
  <c r="L153" i="5"/>
  <c r="L139" i="5"/>
  <c r="L125" i="5"/>
  <c r="L111" i="5"/>
  <c r="L206" i="5"/>
  <c r="L192" i="5"/>
  <c r="L178" i="5"/>
  <c r="L164" i="5"/>
  <c r="L150" i="5"/>
  <c r="L122" i="5"/>
  <c r="L136" i="5"/>
  <c r="L205" i="5"/>
  <c r="L191" i="5"/>
  <c r="L177" i="5"/>
  <c r="L163" i="5"/>
  <c r="L149" i="5"/>
  <c r="L135" i="5"/>
  <c r="L121" i="5"/>
  <c r="K136" i="4"/>
  <c r="K148" i="4"/>
  <c r="K134" i="4"/>
  <c r="K147" i="4"/>
  <c r="K133" i="4"/>
  <c r="K111" i="4"/>
  <c r="O147" i="4"/>
  <c r="K41" i="1" s="1"/>
  <c r="O119" i="4"/>
  <c r="K13" i="1" s="1"/>
  <c r="K206" i="4"/>
  <c r="K192" i="4"/>
  <c r="K178" i="4"/>
  <c r="K164" i="4"/>
  <c r="K150" i="4"/>
  <c r="K122" i="4"/>
  <c r="K205" i="4"/>
  <c r="K191" i="4"/>
  <c r="K177" i="4"/>
  <c r="K163" i="4"/>
  <c r="K149" i="4"/>
  <c r="K135" i="4"/>
  <c r="K121" i="4"/>
  <c r="K202" i="4"/>
  <c r="K188" i="4"/>
  <c r="K174" i="4"/>
  <c r="K160" i="4"/>
  <c r="K146" i="4"/>
  <c r="K132" i="4"/>
  <c r="K118" i="4"/>
  <c r="K201" i="4"/>
  <c r="K187" i="4"/>
  <c r="K173" i="4"/>
  <c r="K159" i="4"/>
  <c r="K145" i="4"/>
  <c r="K131" i="4"/>
  <c r="K117" i="4"/>
  <c r="K200" i="4"/>
  <c r="K186" i="4"/>
  <c r="K172" i="4"/>
  <c r="K158" i="4"/>
  <c r="K144" i="4"/>
  <c r="K130" i="4"/>
  <c r="K116" i="4"/>
  <c r="O169" i="4"/>
  <c r="K63" i="1" s="1"/>
  <c r="O189" i="4"/>
  <c r="K83" i="1" s="1"/>
  <c r="O175" i="4"/>
  <c r="K69" i="1" s="1"/>
  <c r="O161" i="4"/>
  <c r="K55" i="1" s="1"/>
  <c r="O209" i="4"/>
  <c r="K103" i="1" s="1"/>
  <c r="O195" i="4"/>
  <c r="K89" i="1" s="1"/>
  <c r="O181" i="4"/>
  <c r="K75" i="1" s="1"/>
  <c r="O167" i="4"/>
  <c r="K61" i="1" s="1"/>
  <c r="O153" i="4"/>
  <c r="K47" i="1" s="1"/>
  <c r="O139" i="4"/>
  <c r="K33" i="1" s="1"/>
  <c r="O125" i="4"/>
  <c r="K19" i="1" s="1"/>
  <c r="O111" i="4"/>
  <c r="K5" i="1" s="1"/>
  <c r="O176" i="4"/>
  <c r="K70" i="1" s="1"/>
  <c r="O196" i="4"/>
  <c r="K90" i="1" s="1"/>
  <c r="O168" i="4"/>
  <c r="K62" i="1" s="1"/>
  <c r="O154" i="4"/>
  <c r="K48" i="1" s="1"/>
  <c r="O140" i="4"/>
  <c r="K34" i="1" s="1"/>
  <c r="O112" i="4"/>
  <c r="K6" i="1" s="1"/>
  <c r="O180" i="4"/>
  <c r="K74" i="1" s="1"/>
  <c r="O190" i="4"/>
  <c r="K84" i="1" s="1"/>
  <c r="O162" i="4"/>
  <c r="K56" i="1" s="1"/>
  <c r="O182" i="4"/>
  <c r="K76" i="1" s="1"/>
  <c r="O126" i="4"/>
  <c r="K20" i="1" s="1"/>
  <c r="O208" i="4"/>
  <c r="K102" i="1" s="1"/>
  <c r="O194" i="4"/>
  <c r="K88" i="1" s="1"/>
  <c r="O166" i="4"/>
  <c r="K60" i="1" s="1"/>
  <c r="O152" i="4"/>
  <c r="K46" i="1" s="1"/>
  <c r="O138" i="4"/>
  <c r="K32" i="1" s="1"/>
  <c r="O134" i="4"/>
  <c r="K28" i="1" s="1"/>
  <c r="O205" i="4"/>
  <c r="K99" i="1" s="1"/>
  <c r="O148" i="4"/>
  <c r="K42" i="1" s="1"/>
  <c r="O204" i="4"/>
  <c r="K98" i="1" s="1"/>
  <c r="O201" i="4"/>
  <c r="K95" i="1" s="1"/>
  <c r="O187" i="4"/>
  <c r="K81" i="1" s="1"/>
  <c r="O173" i="4"/>
  <c r="K67" i="1" s="1"/>
  <c r="O159" i="4"/>
  <c r="K53" i="1" s="1"/>
  <c r="O145" i="4"/>
  <c r="K39" i="1" s="1"/>
  <c r="O131" i="4"/>
  <c r="K25" i="1" s="1"/>
  <c r="O117" i="4"/>
  <c r="K11" i="1" s="1"/>
  <c r="O203" i="4"/>
  <c r="K97" i="1" s="1"/>
  <c r="O133" i="4"/>
  <c r="K27" i="1" s="1"/>
  <c r="O200" i="4"/>
  <c r="K94" i="1" s="1"/>
  <c r="O186" i="4"/>
  <c r="K80" i="1" s="1"/>
  <c r="O172" i="4"/>
  <c r="K66" i="1" s="1"/>
  <c r="O158" i="4"/>
  <c r="K52" i="1" s="1"/>
  <c r="O144" i="4"/>
  <c r="K38" i="1" s="1"/>
  <c r="O130" i="4"/>
  <c r="K24" i="1" s="1"/>
  <c r="O116" i="4"/>
  <c r="K10" i="1" s="1"/>
  <c r="O198" i="4"/>
  <c r="K92" i="1" s="1"/>
  <c r="O184" i="4"/>
  <c r="K78" i="1" s="1"/>
  <c r="O170" i="4"/>
  <c r="K64" i="1" s="1"/>
  <c r="O156" i="4"/>
  <c r="K50" i="1" s="1"/>
  <c r="O142" i="4"/>
  <c r="K36" i="1" s="1"/>
  <c r="O128" i="4"/>
  <c r="K22" i="1" s="1"/>
  <c r="O114" i="4"/>
  <c r="K8" i="1" s="1"/>
  <c r="O191" i="4"/>
  <c r="K85" i="1" s="1"/>
  <c r="O177" i="4"/>
  <c r="K71" i="1" s="1"/>
  <c r="O163" i="4"/>
  <c r="K57" i="1" s="1"/>
  <c r="O149" i="4"/>
  <c r="K43" i="1" s="1"/>
  <c r="O135" i="4"/>
  <c r="K29" i="1" s="1"/>
  <c r="O121" i="4"/>
  <c r="K15" i="1" s="1"/>
  <c r="O197" i="4"/>
  <c r="K91" i="1" s="1"/>
  <c r="O183" i="4"/>
  <c r="K77" i="1" s="1"/>
  <c r="O155" i="4"/>
  <c r="K49" i="1" s="1"/>
  <c r="O141" i="4"/>
  <c r="K35" i="1" s="1"/>
  <c r="O127" i="4"/>
  <c r="K21" i="1" s="1"/>
  <c r="O113" i="4"/>
  <c r="K7" i="1" s="1"/>
  <c r="O185" i="4"/>
  <c r="K79" i="1" s="1"/>
  <c r="O157" i="4"/>
  <c r="K51" i="1" s="1"/>
  <c r="O129" i="4"/>
  <c r="K23" i="1" s="1"/>
  <c r="O110" i="4"/>
  <c r="K4" i="1" s="1"/>
  <c r="O207" i="4"/>
  <c r="K101" i="1" s="1"/>
  <c r="O193" i="4"/>
  <c r="K87" i="1" s="1"/>
  <c r="O179" i="4"/>
  <c r="K73" i="1" s="1"/>
  <c r="O165" i="4"/>
  <c r="K59" i="1" s="1"/>
  <c r="O151" i="4"/>
  <c r="K45" i="1" s="1"/>
  <c r="O137" i="4"/>
  <c r="K31" i="1" s="1"/>
  <c r="O123" i="4"/>
  <c r="K17" i="1" s="1"/>
  <c r="O199" i="4"/>
  <c r="K93" i="1" s="1"/>
  <c r="O171" i="4"/>
  <c r="K65" i="1" s="1"/>
  <c r="O143" i="4"/>
  <c r="K37" i="1" s="1"/>
  <c r="O115" i="4"/>
  <c r="K9" i="1" s="1"/>
  <c r="O124" i="4"/>
  <c r="K18" i="1" s="1"/>
  <c r="O206" i="4"/>
  <c r="K100" i="1" s="1"/>
  <c r="O192" i="4"/>
  <c r="K86" i="1" s="1"/>
  <c r="O178" i="4"/>
  <c r="K72" i="1" s="1"/>
  <c r="O164" i="4"/>
  <c r="K58" i="1" s="1"/>
  <c r="O150" i="4"/>
  <c r="K44" i="1" s="1"/>
  <c r="O136" i="4"/>
  <c r="K30" i="1" s="1"/>
  <c r="O122" i="4"/>
  <c r="K16" i="1" s="1"/>
  <c r="O202" i="4"/>
  <c r="K96" i="1" s="1"/>
  <c r="O188" i="4"/>
  <c r="K82" i="1" s="1"/>
  <c r="O174" i="4"/>
  <c r="K68" i="1" s="1"/>
  <c r="O160" i="4"/>
  <c r="K54" i="1" s="1"/>
  <c r="O146" i="4"/>
  <c r="K40" i="1" s="1"/>
  <c r="O132" i="4"/>
  <c r="K26" i="1" s="1"/>
  <c r="O118" i="4"/>
  <c r="K12" i="1" s="1"/>
  <c r="G128" i="4"/>
  <c r="I22" i="1" s="1"/>
  <c r="G203" i="4"/>
  <c r="I97" i="1" s="1"/>
  <c r="G161" i="4"/>
  <c r="I55" i="1" s="1"/>
  <c r="G147" i="4"/>
  <c r="I41" i="1" s="1"/>
  <c r="G202" i="4"/>
  <c r="I96" i="1" s="1"/>
  <c r="G188" i="4"/>
  <c r="I82" i="1" s="1"/>
  <c r="G174" i="4"/>
  <c r="I68" i="1" s="1"/>
  <c r="G160" i="4"/>
  <c r="I54" i="1" s="1"/>
  <c r="G146" i="4"/>
  <c r="I40" i="1" s="1"/>
  <c r="G132" i="4"/>
  <c r="I26" i="1" s="1"/>
  <c r="G184" i="4"/>
  <c r="I78" i="1" s="1"/>
  <c r="G156" i="4"/>
  <c r="I50" i="1" s="1"/>
  <c r="G142" i="4"/>
  <c r="I36" i="1" s="1"/>
  <c r="G197" i="4"/>
  <c r="I91" i="1" s="1"/>
  <c r="G183" i="4"/>
  <c r="I77" i="1" s="1"/>
  <c r="G169" i="4"/>
  <c r="I63" i="1" s="1"/>
  <c r="G155" i="4"/>
  <c r="I49" i="1" s="1"/>
  <c r="G141" i="4"/>
  <c r="G127" i="4"/>
  <c r="I21" i="1" s="1"/>
  <c r="G198" i="4"/>
  <c r="I92" i="1" s="1"/>
  <c r="G199" i="4"/>
  <c r="G157" i="4"/>
  <c r="I51" i="1" s="1"/>
  <c r="G182" i="4"/>
  <c r="I76" i="1" s="1"/>
  <c r="G167" i="4"/>
  <c r="G201" i="4"/>
  <c r="G187" i="4"/>
  <c r="I81" i="1" s="1"/>
  <c r="G173" i="4"/>
  <c r="I67" i="1" s="1"/>
  <c r="G159" i="4"/>
  <c r="I53" i="1" s="1"/>
  <c r="G145" i="4"/>
  <c r="I39" i="1" s="1"/>
  <c r="G200" i="4"/>
  <c r="I94" i="1" s="1"/>
  <c r="G186" i="4"/>
  <c r="I80" i="1" s="1"/>
  <c r="G172" i="4"/>
  <c r="I66" i="1" s="1"/>
  <c r="G158" i="4"/>
  <c r="I52" i="1" s="1"/>
  <c r="G144" i="4"/>
  <c r="I38" i="1" s="1"/>
  <c r="G116" i="4"/>
  <c r="G110" i="4"/>
  <c r="G168" i="4"/>
  <c r="I62" i="1" s="1"/>
  <c r="G208" i="4"/>
  <c r="G194" i="4"/>
  <c r="I88" i="1" s="1"/>
  <c r="G180" i="4"/>
  <c r="G166" i="4"/>
  <c r="G152" i="4"/>
  <c r="I46" i="1" s="1"/>
  <c r="G138" i="4"/>
  <c r="G124" i="4"/>
  <c r="I18" i="1" s="1"/>
  <c r="G148" i="4"/>
  <c r="G196" i="4"/>
  <c r="I90" i="1" s="1"/>
  <c r="G119" i="4"/>
  <c r="I13" i="1" s="1"/>
  <c r="G171" i="4"/>
  <c r="G115" i="4"/>
  <c r="G170" i="4"/>
  <c r="G114" i="4"/>
  <c r="G154" i="4"/>
  <c r="G140" i="4"/>
  <c r="G126" i="4"/>
  <c r="I20" i="1" s="1"/>
  <c r="G112" i="4"/>
  <c r="I6" i="1" s="1"/>
  <c r="G209" i="4"/>
  <c r="G181" i="4"/>
  <c r="G153" i="4"/>
  <c r="G139" i="4"/>
  <c r="G125" i="4"/>
  <c r="G111" i="4"/>
  <c r="G205" i="4"/>
  <c r="G191" i="4"/>
  <c r="G163" i="4"/>
  <c r="G149" i="4"/>
  <c r="G135" i="4"/>
  <c r="G204" i="4"/>
  <c r="G162" i="4"/>
  <c r="G195" i="4"/>
  <c r="G113" i="4"/>
  <c r="G121" i="4"/>
  <c r="G120" i="4"/>
  <c r="G177" i="4"/>
  <c r="G118" i="4"/>
  <c r="G190" i="4"/>
  <c r="G176" i="4"/>
  <c r="G134" i="4"/>
  <c r="G117" i="4"/>
  <c r="G189" i="4"/>
  <c r="G175" i="4"/>
  <c r="G133" i="4"/>
  <c r="G185" i="4"/>
  <c r="G143" i="4"/>
  <c r="G129" i="4"/>
  <c r="G131" i="4"/>
  <c r="G130" i="4"/>
  <c r="Q111" i="3"/>
  <c r="Q129" i="3"/>
  <c r="G207" i="4"/>
  <c r="G193" i="4"/>
  <c r="G179" i="4"/>
  <c r="G165" i="4"/>
  <c r="G151" i="4"/>
  <c r="G137" i="4"/>
  <c r="G123" i="4"/>
  <c r="G206" i="4"/>
  <c r="G192" i="4"/>
  <c r="G178" i="4"/>
  <c r="G164" i="4"/>
  <c r="G150" i="4"/>
  <c r="G136" i="4"/>
  <c r="G122" i="4"/>
  <c r="L112" i="3"/>
  <c r="L195" i="3"/>
  <c r="F90" i="1" s="1"/>
  <c r="L193" i="3"/>
  <c r="L151" i="3"/>
  <c r="F46" i="1" s="1"/>
  <c r="L123" i="3"/>
  <c r="L178" i="3"/>
  <c r="F73" i="1" s="1"/>
  <c r="Q206" i="3"/>
  <c r="L154" i="3"/>
  <c r="F49" i="1" s="1"/>
  <c r="L152" i="3"/>
  <c r="F47" i="1" s="1"/>
  <c r="G123" i="3"/>
  <c r="E18" i="1" s="1"/>
  <c r="Q196" i="3"/>
  <c r="G91" i="1" s="1"/>
  <c r="L170" i="3"/>
  <c r="F65" i="1" s="1"/>
  <c r="Q199" i="3"/>
  <c r="Q200" i="3"/>
  <c r="Q197" i="3"/>
  <c r="Q195" i="3"/>
  <c r="Q151" i="3"/>
  <c r="Q137" i="3"/>
  <c r="Q113" i="3"/>
  <c r="L192" i="3"/>
  <c r="F87" i="1" s="1"/>
  <c r="L181" i="3"/>
  <c r="F76" i="1" s="1"/>
  <c r="G131" i="3"/>
  <c r="E26" i="1" s="1"/>
  <c r="L115" i="3"/>
  <c r="F10" i="1" s="1"/>
  <c r="Q141" i="3"/>
  <c r="G36" i="1" s="1"/>
  <c r="Q185" i="3"/>
  <c r="G80" i="1" s="1"/>
  <c r="Q172" i="3"/>
  <c r="G67" i="1" s="1"/>
  <c r="Q144" i="3"/>
  <c r="Q130" i="3"/>
  <c r="Q116" i="3"/>
  <c r="Q110" i="3"/>
  <c r="Q139" i="3"/>
  <c r="Q179" i="3"/>
  <c r="G74" i="1" s="1"/>
  <c r="Q152" i="3"/>
  <c r="Q153" i="3"/>
  <c r="Q125" i="3"/>
  <c r="G139" i="3"/>
  <c r="E34" i="1" s="1"/>
  <c r="L182" i="3"/>
  <c r="F77" i="1" s="1"/>
  <c r="L169" i="3"/>
  <c r="F64" i="1" s="1"/>
  <c r="L113" i="3"/>
  <c r="F8" i="1" s="1"/>
  <c r="G117" i="3"/>
  <c r="E12" i="1" s="1"/>
  <c r="L161" i="3"/>
  <c r="F56" i="1" s="1"/>
  <c r="L147" i="3"/>
  <c r="L179" i="3"/>
  <c r="L138" i="3"/>
  <c r="L124" i="3"/>
  <c r="L146" i="3"/>
  <c r="Q156" i="3"/>
  <c r="Q128" i="3"/>
  <c r="G23" i="1" s="1"/>
  <c r="Q159" i="3"/>
  <c r="Q131" i="3"/>
  <c r="G26" i="1" s="1"/>
  <c r="Q117" i="3"/>
  <c r="G12" i="1" s="1"/>
  <c r="L199" i="3"/>
  <c r="F94" i="1" s="1"/>
  <c r="L185" i="3"/>
  <c r="F80" i="1" s="1"/>
  <c r="L172" i="3"/>
  <c r="F67" i="1" s="1"/>
  <c r="L158" i="3"/>
  <c r="L144" i="3"/>
  <c r="L130" i="3"/>
  <c r="Q182" i="3"/>
  <c r="Q169" i="3"/>
  <c r="Q155" i="3"/>
  <c r="G153" i="3"/>
  <c r="L198" i="3"/>
  <c r="F93" i="1" s="1"/>
  <c r="L184" i="3"/>
  <c r="L171" i="3"/>
  <c r="L157" i="3"/>
  <c r="F52" i="1" s="1"/>
  <c r="L143" i="3"/>
  <c r="L129" i="3"/>
  <c r="Q181" i="3"/>
  <c r="G76" i="1" s="1"/>
  <c r="Q168" i="3"/>
  <c r="G63" i="1" s="1"/>
  <c r="Q154" i="3"/>
  <c r="G152" i="3"/>
  <c r="L197" i="3"/>
  <c r="L156" i="3"/>
  <c r="L142" i="3"/>
  <c r="L128" i="3"/>
  <c r="F23" i="1" s="1"/>
  <c r="L175" i="3"/>
  <c r="L119" i="3"/>
  <c r="F14" i="1" s="1"/>
  <c r="L196" i="3"/>
  <c r="F91" i="1" s="1"/>
  <c r="L141" i="3"/>
  <c r="F36" i="1" s="1"/>
  <c r="L127" i="3"/>
  <c r="F22" i="1" s="1"/>
  <c r="G161" i="3"/>
  <c r="E56" i="1" s="1"/>
  <c r="L168" i="3"/>
  <c r="F63" i="1" s="1"/>
  <c r="L140" i="3"/>
  <c r="Q178" i="3"/>
  <c r="Q198" i="3"/>
  <c r="Q184" i="3"/>
  <c r="Q171" i="3"/>
  <c r="Q143" i="3"/>
  <c r="Q115" i="3"/>
  <c r="G10" i="1" s="1"/>
  <c r="L116" i="3"/>
  <c r="G175" i="3"/>
  <c r="E70" i="1" s="1"/>
  <c r="Q183" i="3"/>
  <c r="Q170" i="3"/>
  <c r="G65" i="1" s="1"/>
  <c r="Q142" i="3"/>
  <c r="G37" i="1" s="1"/>
  <c r="Q114" i="3"/>
  <c r="G9" i="1" s="1"/>
  <c r="L207" i="3"/>
  <c r="F102" i="1" s="1"/>
  <c r="Q127" i="3"/>
  <c r="L206" i="3"/>
  <c r="L165" i="3"/>
  <c r="L137" i="3"/>
  <c r="L183" i="3"/>
  <c r="L114" i="3"/>
  <c r="F9" i="1" s="1"/>
  <c r="G133" i="3"/>
  <c r="E28" i="1" s="1"/>
  <c r="G119" i="3"/>
  <c r="Q208" i="3"/>
  <c r="G103" i="1" s="1"/>
  <c r="Q194" i="3"/>
  <c r="G89" i="1" s="1"/>
  <c r="Q180" i="3"/>
  <c r="Q207" i="3"/>
  <c r="G102" i="1" s="1"/>
  <c r="Q193" i="3"/>
  <c r="G88" i="1" s="1"/>
  <c r="Q138" i="3"/>
  <c r="G33" i="1" s="1"/>
  <c r="Q124" i="3"/>
  <c r="G19" i="1" s="1"/>
  <c r="L194" i="3"/>
  <c r="L180" i="3"/>
  <c r="L153" i="3"/>
  <c r="F48" i="1" s="1"/>
  <c r="Q161" i="3"/>
  <c r="L159" i="3"/>
  <c r="Q157" i="3"/>
  <c r="G52" i="1" s="1"/>
  <c r="L155" i="3"/>
  <c r="L186" i="3"/>
  <c r="F81" i="1" s="1"/>
  <c r="L131" i="3"/>
  <c r="L145" i="3"/>
  <c r="F40" i="1" s="1"/>
  <c r="L110" i="3"/>
  <c r="F5" i="1" s="1"/>
  <c r="L109" i="3"/>
  <c r="F4" i="1" s="1"/>
  <c r="L166" i="3"/>
  <c r="F61" i="1" s="1"/>
  <c r="L160" i="3"/>
  <c r="F55" i="1" s="1"/>
  <c r="L187" i="3"/>
  <c r="L200" i="3"/>
  <c r="L202" i="3"/>
  <c r="L201" i="3"/>
  <c r="L188" i="3"/>
  <c r="L174" i="3"/>
  <c r="F69" i="1" s="1"/>
  <c r="L173" i="3"/>
  <c r="L133" i="3"/>
  <c r="L132" i="3"/>
  <c r="F27" i="1" s="1"/>
  <c r="L126" i="3"/>
  <c r="L208" i="3"/>
  <c r="F103" i="1" s="1"/>
  <c r="L167" i="3"/>
  <c r="F62" i="1" s="1"/>
  <c r="L139" i="3"/>
  <c r="L125" i="3"/>
  <c r="F20" i="1" s="1"/>
  <c r="L111" i="3"/>
  <c r="F6" i="1" s="1"/>
  <c r="L205" i="3"/>
  <c r="L191" i="3"/>
  <c r="F86" i="1" s="1"/>
  <c r="L164" i="3"/>
  <c r="L150" i="3"/>
  <c r="F45" i="1" s="1"/>
  <c r="L136" i="3"/>
  <c r="L122" i="3"/>
  <c r="L204" i="3"/>
  <c r="F99" i="1" s="1"/>
  <c r="L190" i="3"/>
  <c r="F85" i="1" s="1"/>
  <c r="L177" i="3"/>
  <c r="F72" i="1" s="1"/>
  <c r="L163" i="3"/>
  <c r="F58" i="1" s="1"/>
  <c r="L149" i="3"/>
  <c r="F44" i="1" s="1"/>
  <c r="L135" i="3"/>
  <c r="F30" i="1" s="1"/>
  <c r="L121" i="3"/>
  <c r="L203" i="3"/>
  <c r="F98" i="1" s="1"/>
  <c r="L189" i="3"/>
  <c r="L176" i="3"/>
  <c r="L162" i="3"/>
  <c r="L148" i="3"/>
  <c r="F43" i="1" s="1"/>
  <c r="L134" i="3"/>
  <c r="F29" i="1" s="1"/>
  <c r="L120" i="3"/>
  <c r="L118" i="3"/>
  <c r="L117" i="3"/>
  <c r="Q109" i="3"/>
  <c r="G4" i="1" s="1"/>
  <c r="Q167" i="3"/>
  <c r="Q192" i="3"/>
  <c r="G87" i="1" s="1"/>
  <c r="Q165" i="3"/>
  <c r="G60" i="1" s="1"/>
  <c r="Q160" i="3"/>
  <c r="Q158" i="3"/>
  <c r="Q126" i="3"/>
  <c r="Q123" i="3"/>
  <c r="G18" i="1" s="1"/>
  <c r="Q119" i="3"/>
  <c r="G14" i="1" s="1"/>
  <c r="Q112" i="3"/>
  <c r="G7" i="1" s="1"/>
  <c r="G172" i="3"/>
  <c r="Q188" i="3"/>
  <c r="G83" i="1" s="1"/>
  <c r="Q187" i="3"/>
  <c r="Q186" i="3"/>
  <c r="G81" i="1" s="1"/>
  <c r="Q175" i="3"/>
  <c r="Q174" i="3"/>
  <c r="G69" i="1" s="1"/>
  <c r="Q173" i="3"/>
  <c r="G68" i="1" s="1"/>
  <c r="Q202" i="3"/>
  <c r="G97" i="1" s="1"/>
  <c r="Q201" i="3"/>
  <c r="G96" i="1" s="1"/>
  <c r="Q166" i="3"/>
  <c r="G61" i="1" s="1"/>
  <c r="Q147" i="3"/>
  <c r="G42" i="1" s="1"/>
  <c r="Q146" i="3"/>
  <c r="Q145" i="3"/>
  <c r="G40" i="1" s="1"/>
  <c r="Q140" i="3"/>
  <c r="G35" i="1" s="1"/>
  <c r="Q133" i="3"/>
  <c r="G28" i="1" s="1"/>
  <c r="Q132" i="3"/>
  <c r="G27" i="1" s="1"/>
  <c r="Q118" i="3"/>
  <c r="G151" i="3"/>
  <c r="G141" i="3"/>
  <c r="G208" i="3"/>
  <c r="G205" i="3"/>
  <c r="E100" i="1" s="1"/>
  <c r="G191" i="3"/>
  <c r="E86" i="1" s="1"/>
  <c r="Q205" i="3"/>
  <c r="G100" i="1" s="1"/>
  <c r="Q191" i="3"/>
  <c r="G86" i="1" s="1"/>
  <c r="Q164" i="3"/>
  <c r="G59" i="1" s="1"/>
  <c r="Q150" i="3"/>
  <c r="Q136" i="3"/>
  <c r="Q122" i="3"/>
  <c r="Q204" i="3"/>
  <c r="G99" i="1" s="1"/>
  <c r="Q190" i="3"/>
  <c r="Q177" i="3"/>
  <c r="Q163" i="3"/>
  <c r="G58" i="1" s="1"/>
  <c r="Q149" i="3"/>
  <c r="G44" i="1" s="1"/>
  <c r="Q135" i="3"/>
  <c r="G30" i="1" s="1"/>
  <c r="Q121" i="3"/>
  <c r="G16" i="1" s="1"/>
  <c r="Q203" i="3"/>
  <c r="G98" i="1" s="1"/>
  <c r="Q189" i="3"/>
  <c r="G84" i="1" s="1"/>
  <c r="Q176" i="3"/>
  <c r="G71" i="1" s="1"/>
  <c r="Q162" i="3"/>
  <c r="Q148" i="3"/>
  <c r="Q134" i="3"/>
  <c r="Q120" i="3"/>
  <c r="G15" i="1" s="1"/>
  <c r="G138" i="3"/>
  <c r="G137" i="3"/>
  <c r="G134" i="3"/>
  <c r="G200" i="3"/>
  <c r="G207" i="3"/>
  <c r="G206" i="3"/>
  <c r="G182" i="3"/>
  <c r="G180" i="3"/>
  <c r="G192" i="3"/>
  <c r="G201" i="3"/>
  <c r="G142" i="3"/>
  <c r="G113" i="3"/>
  <c r="G112" i="3"/>
  <c r="G186" i="3"/>
  <c r="G162" i="3"/>
  <c r="G159" i="3"/>
  <c r="G148" i="3"/>
  <c r="E43" i="1" s="1"/>
  <c r="G147" i="3"/>
  <c r="G114" i="3"/>
  <c r="G111" i="3"/>
  <c r="E6" i="1" s="1"/>
  <c r="G185" i="3"/>
  <c r="G198" i="3"/>
  <c r="G129" i="3"/>
  <c r="G197" i="3"/>
  <c r="G170" i="3"/>
  <c r="G128" i="3"/>
  <c r="G169" i="3"/>
  <c r="G143" i="3"/>
  <c r="G195" i="3"/>
  <c r="G168" i="3"/>
  <c r="G140" i="3"/>
  <c r="G167" i="3"/>
  <c r="E62" i="1" s="1"/>
  <c r="G199" i="3"/>
  <c r="G158" i="3"/>
  <c r="G130" i="3"/>
  <c r="G184" i="3"/>
  <c r="G171" i="3"/>
  <c r="G115" i="3"/>
  <c r="G183" i="3"/>
  <c r="G156" i="3"/>
  <c r="G144" i="3"/>
  <c r="G196" i="3"/>
  <c r="G155" i="3"/>
  <c r="G181" i="3"/>
  <c r="G154" i="3"/>
  <c r="G194" i="3"/>
  <c r="G193" i="3"/>
  <c r="G150" i="3"/>
  <c r="E45" i="1" s="1"/>
  <c r="G136" i="3"/>
  <c r="E31" i="1" s="1"/>
  <c r="G204" i="3"/>
  <c r="E99" i="1" s="1"/>
  <c r="G190" i="3"/>
  <c r="E85" i="1" s="1"/>
  <c r="G177" i="3"/>
  <c r="G149" i="3"/>
  <c r="G135" i="3"/>
  <c r="G127" i="3"/>
  <c r="G126" i="3"/>
  <c r="G125" i="3"/>
  <c r="G116" i="3"/>
  <c r="G121" i="3"/>
  <c r="G174" i="3"/>
  <c r="E69" i="1" s="1"/>
  <c r="G160" i="3"/>
  <c r="G146" i="3"/>
  <c r="G118" i="3"/>
  <c r="E13" i="1" s="1"/>
  <c r="G173" i="3"/>
  <c r="E68" i="1" s="1"/>
  <c r="G145" i="3"/>
  <c r="G157" i="3"/>
  <c r="G166" i="3"/>
  <c r="G110" i="3"/>
  <c r="G178" i="3"/>
  <c r="G164" i="3"/>
  <c r="E59" i="1" s="1"/>
  <c r="G179" i="3"/>
  <c r="G124" i="3"/>
  <c r="G165" i="3"/>
  <c r="G132" i="3"/>
  <c r="G203" i="3"/>
  <c r="E98" i="1" s="1"/>
  <c r="G189" i="3"/>
  <c r="E84" i="1" s="1"/>
  <c r="G120" i="3"/>
  <c r="E15" i="1" s="1"/>
  <c r="G202" i="3"/>
  <c r="E97" i="1" s="1"/>
  <c r="G188" i="3"/>
  <c r="E83" i="1" s="1"/>
  <c r="G187" i="3"/>
  <c r="E82" i="1" s="1"/>
  <c r="G176" i="3"/>
  <c r="G163" i="3"/>
  <c r="G122" i="3"/>
  <c r="E17" i="1" s="1"/>
  <c r="I93" i="1" l="1"/>
  <c r="P199" i="4"/>
  <c r="I35" i="1"/>
  <c r="I61" i="1"/>
  <c r="I10" i="1"/>
  <c r="I95" i="1"/>
  <c r="I102" i="1"/>
  <c r="I4" i="1"/>
  <c r="I32" i="1"/>
  <c r="I60" i="1"/>
  <c r="I74" i="1"/>
  <c r="I9" i="1"/>
  <c r="I8" i="1"/>
  <c r="I85" i="1"/>
  <c r="I99" i="1"/>
  <c r="I65" i="1"/>
  <c r="I42" i="1"/>
  <c r="I43" i="1"/>
  <c r="I57" i="1"/>
  <c r="I64" i="1"/>
  <c r="I75" i="1"/>
  <c r="I103" i="1"/>
  <c r="I48" i="1"/>
  <c r="I56" i="1"/>
  <c r="I98" i="1"/>
  <c r="I29" i="1"/>
  <c r="I5" i="1"/>
  <c r="I34" i="1"/>
  <c r="I19" i="1"/>
  <c r="I47" i="1"/>
  <c r="I33" i="1"/>
  <c r="I59" i="1"/>
  <c r="I11" i="1"/>
  <c r="I73" i="1"/>
  <c r="I28" i="1"/>
  <c r="I87" i="1"/>
  <c r="I70" i="1"/>
  <c r="I101" i="1"/>
  <c r="I84" i="1"/>
  <c r="I16" i="1"/>
  <c r="I12" i="1"/>
  <c r="I30" i="1"/>
  <c r="I71" i="1"/>
  <c r="I44" i="1"/>
  <c r="I24" i="1"/>
  <c r="I14" i="1"/>
  <c r="I58" i="1"/>
  <c r="I25" i="1"/>
  <c r="I15" i="1"/>
  <c r="I72" i="1"/>
  <c r="I23" i="1"/>
  <c r="I86" i="1"/>
  <c r="I37" i="1"/>
  <c r="I7" i="1"/>
  <c r="I100" i="1"/>
  <c r="I79" i="1"/>
  <c r="I89" i="1"/>
  <c r="I17" i="1"/>
  <c r="I27" i="1"/>
  <c r="I31" i="1"/>
  <c r="I69" i="1"/>
  <c r="I45" i="1"/>
  <c r="I83" i="1"/>
  <c r="E103" i="1"/>
  <c r="F21" i="1"/>
  <c r="G82" i="1"/>
  <c r="F79" i="1"/>
  <c r="G54" i="1"/>
  <c r="F17" i="1"/>
  <c r="E50" i="1"/>
  <c r="F83" i="1"/>
  <c r="F37" i="1"/>
  <c r="G50" i="1"/>
  <c r="F41" i="1"/>
  <c r="G32" i="1"/>
  <c r="G75" i="1"/>
  <c r="G78" i="1"/>
  <c r="G85" i="1"/>
  <c r="F68" i="1"/>
  <c r="F70" i="1"/>
  <c r="G48" i="1"/>
  <c r="G51" i="1"/>
  <c r="G38" i="1"/>
  <c r="G29" i="1"/>
  <c r="G31" i="1"/>
  <c r="F57" i="1"/>
  <c r="F59" i="1"/>
  <c r="F96" i="1"/>
  <c r="G56" i="1"/>
  <c r="F78" i="1"/>
  <c r="G66" i="1"/>
  <c r="F51" i="1"/>
  <c r="G64" i="1"/>
  <c r="F19" i="1"/>
  <c r="G34" i="1"/>
  <c r="G46" i="1"/>
  <c r="F88" i="1"/>
  <c r="F24" i="1"/>
  <c r="G70" i="1"/>
  <c r="G72" i="1"/>
  <c r="E57" i="1"/>
  <c r="F18" i="1"/>
  <c r="E71" i="1"/>
  <c r="F54" i="1"/>
  <c r="E7" i="1"/>
  <c r="E4" i="1"/>
  <c r="E30" i="1"/>
  <c r="G43" i="1"/>
  <c r="G45" i="1"/>
  <c r="G41" i="1"/>
  <c r="F71" i="1"/>
  <c r="F97" i="1"/>
  <c r="F32" i="1"/>
  <c r="G79" i="1"/>
  <c r="F92" i="1"/>
  <c r="G77" i="1"/>
  <c r="F33" i="1"/>
  <c r="G5" i="1"/>
  <c r="G90" i="1"/>
  <c r="F66" i="1"/>
  <c r="F28" i="1"/>
  <c r="G20" i="1"/>
  <c r="F15" i="1"/>
  <c r="F50" i="1"/>
  <c r="E14" i="1"/>
  <c r="F11" i="1"/>
  <c r="E58" i="1"/>
  <c r="F31" i="1"/>
  <c r="E48" i="1"/>
  <c r="G47" i="1"/>
  <c r="G8" i="1"/>
  <c r="E61" i="1"/>
  <c r="G17" i="1"/>
  <c r="E44" i="1"/>
  <c r="G57" i="1"/>
  <c r="G21" i="1"/>
  <c r="F84" i="1"/>
  <c r="F100" i="1"/>
  <c r="F95" i="1"/>
  <c r="F75" i="1"/>
  <c r="F60" i="1"/>
  <c r="G93" i="1"/>
  <c r="E47" i="1"/>
  <c r="F25" i="1"/>
  <c r="F74" i="1"/>
  <c r="G11" i="1"/>
  <c r="G92" i="1"/>
  <c r="F7" i="1"/>
  <c r="E42" i="1"/>
  <c r="E29" i="1"/>
  <c r="F13" i="1"/>
  <c r="G101" i="1"/>
  <c r="E72" i="1"/>
  <c r="E96" i="1"/>
  <c r="G53" i="1"/>
  <c r="F82" i="1"/>
  <c r="F89" i="1"/>
  <c r="F101" i="1"/>
  <c r="G73" i="1"/>
  <c r="G49" i="1"/>
  <c r="F39" i="1"/>
  <c r="F42" i="1"/>
  <c r="G25" i="1"/>
  <c r="G95" i="1"/>
  <c r="G6" i="1"/>
  <c r="G62" i="1"/>
  <c r="F38" i="1"/>
  <c r="E16" i="1"/>
  <c r="E87" i="1"/>
  <c r="G55" i="1"/>
  <c r="F16" i="1"/>
  <c r="G22" i="1"/>
  <c r="F35" i="1"/>
  <c r="F53" i="1"/>
  <c r="G39" i="1"/>
  <c r="G94" i="1"/>
  <c r="G24" i="1"/>
  <c r="R175" i="3"/>
  <c r="R183" i="3"/>
  <c r="H78" i="1" s="1"/>
  <c r="E78" i="1"/>
  <c r="R170" i="3"/>
  <c r="H65" i="1" s="1"/>
  <c r="E65" i="1"/>
  <c r="R142" i="3"/>
  <c r="E37" i="1"/>
  <c r="R171" i="3"/>
  <c r="E66" i="1"/>
  <c r="R129" i="3"/>
  <c r="E24" i="1"/>
  <c r="R165" i="3"/>
  <c r="E60" i="1"/>
  <c r="R160" i="3"/>
  <c r="H55" i="1" s="1"/>
  <c r="E55" i="1"/>
  <c r="R130" i="3"/>
  <c r="H25" i="1" s="1"/>
  <c r="E25" i="1"/>
  <c r="R185" i="3"/>
  <c r="H80" i="1" s="1"/>
  <c r="E80" i="1"/>
  <c r="R182" i="3"/>
  <c r="E77" i="1"/>
  <c r="R172" i="3"/>
  <c r="E67" i="1"/>
  <c r="R145" i="3"/>
  <c r="E40" i="1"/>
  <c r="R115" i="3"/>
  <c r="H10" i="1" s="1"/>
  <c r="E10" i="1"/>
  <c r="R197" i="3"/>
  <c r="H92" i="1" s="1"/>
  <c r="E92" i="1"/>
  <c r="R151" i="3"/>
  <c r="H46" i="1" s="1"/>
  <c r="E46" i="1"/>
  <c r="R117" i="3"/>
  <c r="H12" i="1" s="1"/>
  <c r="F12" i="1"/>
  <c r="R118" i="3"/>
  <c r="G13" i="1"/>
  <c r="R131" i="3"/>
  <c r="F26" i="1"/>
  <c r="R132" i="3"/>
  <c r="E27" i="1"/>
  <c r="R146" i="3"/>
  <c r="E41" i="1"/>
  <c r="R184" i="3"/>
  <c r="E79" i="1"/>
  <c r="R198" i="3"/>
  <c r="E93" i="1"/>
  <c r="R180" i="3"/>
  <c r="H75" i="1" s="1"/>
  <c r="E75" i="1"/>
  <c r="R158" i="3"/>
  <c r="E53" i="1"/>
  <c r="R206" i="3"/>
  <c r="E101" i="1"/>
  <c r="R179" i="3"/>
  <c r="H74" i="1" s="1"/>
  <c r="E74" i="1"/>
  <c r="R193" i="3"/>
  <c r="H88" i="1" s="1"/>
  <c r="E88" i="1"/>
  <c r="R194" i="3"/>
  <c r="E89" i="1"/>
  <c r="R200" i="3"/>
  <c r="E95" i="1"/>
  <c r="R141" i="3"/>
  <c r="H36" i="1" s="1"/>
  <c r="E36" i="1"/>
  <c r="R154" i="3"/>
  <c r="E49" i="1"/>
  <c r="R140" i="3"/>
  <c r="E35" i="1"/>
  <c r="R152" i="3"/>
  <c r="R178" i="3"/>
  <c r="E73" i="1"/>
  <c r="R116" i="3"/>
  <c r="E11" i="1"/>
  <c r="R181" i="3"/>
  <c r="E76" i="1"/>
  <c r="R168" i="3"/>
  <c r="H63" i="1" s="1"/>
  <c r="E63" i="1"/>
  <c r="R159" i="3"/>
  <c r="H54" i="1" s="1"/>
  <c r="E54" i="1"/>
  <c r="R137" i="3"/>
  <c r="E32" i="1"/>
  <c r="R153" i="3"/>
  <c r="R110" i="3"/>
  <c r="E5" i="1"/>
  <c r="R125" i="3"/>
  <c r="E20" i="1"/>
  <c r="R195" i="3"/>
  <c r="H90" i="1" s="1"/>
  <c r="E90" i="1"/>
  <c r="R138" i="3"/>
  <c r="H33" i="1" s="1"/>
  <c r="E33" i="1"/>
  <c r="R123" i="3"/>
  <c r="H18" i="1" s="1"/>
  <c r="R124" i="3"/>
  <c r="E19" i="1"/>
  <c r="R157" i="3"/>
  <c r="E52" i="1"/>
  <c r="R144" i="3"/>
  <c r="H39" i="1" s="1"/>
  <c r="E39" i="1"/>
  <c r="R169" i="3"/>
  <c r="H64" i="1" s="1"/>
  <c r="E64" i="1"/>
  <c r="R199" i="3"/>
  <c r="E94" i="1"/>
  <c r="R114" i="3"/>
  <c r="H9" i="1" s="1"/>
  <c r="E9" i="1"/>
  <c r="R207" i="3"/>
  <c r="H102" i="1" s="1"/>
  <c r="E102" i="1"/>
  <c r="R126" i="3"/>
  <c r="E21" i="1"/>
  <c r="R196" i="3"/>
  <c r="E91" i="1"/>
  <c r="R143" i="3"/>
  <c r="E38" i="1"/>
  <c r="R186" i="3"/>
  <c r="E81" i="1"/>
  <c r="R119" i="3"/>
  <c r="R127" i="3"/>
  <c r="H22" i="1" s="1"/>
  <c r="E22" i="1"/>
  <c r="R133" i="3"/>
  <c r="R139" i="3"/>
  <c r="H34" i="1" s="1"/>
  <c r="F34" i="1"/>
  <c r="R156" i="3"/>
  <c r="H51" i="1" s="1"/>
  <c r="E51" i="1"/>
  <c r="R128" i="3"/>
  <c r="H23" i="1" s="1"/>
  <c r="E23" i="1"/>
  <c r="R113" i="3"/>
  <c r="H8" i="1" s="1"/>
  <c r="E8" i="1"/>
  <c r="R161" i="3"/>
  <c r="R155" i="3"/>
  <c r="R192" i="3"/>
  <c r="H87" i="1" s="1"/>
  <c r="R111" i="3"/>
  <c r="H6" i="1" s="1"/>
  <c r="R208" i="3"/>
  <c r="H103" i="1" s="1"/>
  <c r="R109" i="3"/>
  <c r="H4" i="1" s="1"/>
  <c r="R174" i="3"/>
  <c r="H69" i="1" s="1"/>
  <c r="R173" i="3"/>
  <c r="H68" i="1" s="1"/>
  <c r="R167" i="3"/>
  <c r="R188" i="3"/>
  <c r="R201" i="3"/>
  <c r="R112" i="3"/>
  <c r="R147" i="3"/>
  <c r="R136" i="3"/>
  <c r="R150" i="3"/>
  <c r="R164" i="3"/>
  <c r="H59" i="1" s="1"/>
  <c r="R187" i="3"/>
  <c r="R205" i="3"/>
  <c r="H100" i="1" s="1"/>
  <c r="R204" i="3"/>
  <c r="H99" i="1" s="1"/>
  <c r="R191" i="3"/>
  <c r="H86" i="1" s="1"/>
  <c r="R202" i="3"/>
  <c r="H97" i="1" s="1"/>
  <c r="R166" i="3"/>
  <c r="H61" i="1" s="1"/>
  <c r="R134" i="3"/>
  <c r="R122" i="3"/>
  <c r="R148" i="3"/>
  <c r="R162" i="3"/>
  <c r="R121" i="3"/>
  <c r="R163" i="3"/>
  <c r="H58" i="1" s="1"/>
  <c r="R120" i="3"/>
  <c r="H15" i="1" s="1"/>
  <c r="R176" i="3"/>
  <c r="H71" i="1" s="1"/>
  <c r="R189" i="3"/>
  <c r="H84" i="1" s="1"/>
  <c r="R203" i="3"/>
  <c r="R135" i="3"/>
  <c r="H30" i="1" s="1"/>
  <c r="R149" i="3"/>
  <c r="H44" i="1" s="1"/>
  <c r="R177" i="3"/>
  <c r="H72" i="1" s="1"/>
  <c r="R190" i="3"/>
  <c r="H85" i="1" s="1"/>
  <c r="M68" i="1" l="1"/>
  <c r="M12" i="1"/>
  <c r="M80" i="1"/>
  <c r="M65" i="1"/>
  <c r="M97" i="1"/>
  <c r="M4" i="1"/>
  <c r="M78" i="1"/>
  <c r="M99" i="1"/>
  <c r="M103" i="1"/>
  <c r="M100" i="1"/>
  <c r="M55" i="1"/>
  <c r="M84" i="1"/>
  <c r="M59" i="1"/>
  <c r="M88" i="1"/>
  <c r="M10" i="1"/>
  <c r="M58" i="1"/>
  <c r="H93" i="1"/>
  <c r="M93" i="1" s="1"/>
  <c r="H11" i="1"/>
  <c r="M11" i="1" s="1"/>
  <c r="H95" i="1"/>
  <c r="H76" i="1"/>
  <c r="H70" i="1"/>
  <c r="M70" i="1" s="1"/>
  <c r="H14" i="1"/>
  <c r="H79" i="1"/>
  <c r="M79" i="1" s="1"/>
  <c r="H82" i="1"/>
  <c r="M82" i="1" s="1"/>
  <c r="H94" i="1"/>
  <c r="M94" i="1" s="1"/>
  <c r="H56" i="1"/>
  <c r="H31" i="1"/>
  <c r="H5" i="1"/>
  <c r="H40" i="1"/>
  <c r="H38" i="1"/>
  <c r="H7" i="1"/>
  <c r="M7" i="1" s="1"/>
  <c r="H35" i="1"/>
  <c r="M35" i="1" s="1"/>
  <c r="H101" i="1"/>
  <c r="H26" i="1"/>
  <c r="M26" i="1" s="1"/>
  <c r="H67" i="1"/>
  <c r="M67" i="1" s="1"/>
  <c r="H66" i="1"/>
  <c r="M66" i="1" s="1"/>
  <c r="H98" i="1"/>
  <c r="M98" i="1" s="1"/>
  <c r="H50" i="1"/>
  <c r="M50" i="1" s="1"/>
  <c r="H48" i="1"/>
  <c r="H43" i="1"/>
  <c r="H91" i="1"/>
  <c r="H32" i="1"/>
  <c r="H28" i="1"/>
  <c r="H89" i="1"/>
  <c r="M89" i="1" s="1"/>
  <c r="H41" i="1"/>
  <c r="M41" i="1" s="1"/>
  <c r="H81" i="1"/>
  <c r="H73" i="1"/>
  <c r="H47" i="1"/>
  <c r="M47" i="1" s="1"/>
  <c r="H24" i="1"/>
  <c r="M24" i="1" s="1"/>
  <c r="H16" i="1"/>
  <c r="H42" i="1"/>
  <c r="M42" i="1" s="1"/>
  <c r="H57" i="1"/>
  <c r="H96" i="1"/>
  <c r="M96" i="1" s="1"/>
  <c r="H52" i="1"/>
  <c r="H17" i="1"/>
  <c r="H83" i="1"/>
  <c r="H49" i="1"/>
  <c r="H53" i="1"/>
  <c r="H13" i="1"/>
  <c r="M13" i="1" s="1"/>
  <c r="H77" i="1"/>
  <c r="H37" i="1"/>
  <c r="H20" i="1"/>
  <c r="M20" i="1" s="1"/>
  <c r="H60" i="1"/>
  <c r="M60" i="1" s="1"/>
  <c r="H45" i="1"/>
  <c r="M45" i="1" s="1"/>
  <c r="H27" i="1"/>
  <c r="M27" i="1" s="1"/>
  <c r="H29" i="1"/>
  <c r="M29" i="1" s="1"/>
  <c r="H62" i="1"/>
  <c r="M62" i="1" s="1"/>
  <c r="H21" i="1"/>
  <c r="H19" i="1"/>
  <c r="L47" i="1"/>
  <c r="L44" i="1"/>
  <c r="M44" i="1" s="1"/>
  <c r="L54" i="1"/>
  <c r="M54" i="1" s="1"/>
  <c r="L65" i="1"/>
  <c r="L78" i="1"/>
  <c r="L88" i="1"/>
  <c r="L76" i="1"/>
  <c r="L75" i="1"/>
  <c r="M75" i="1" s="1"/>
  <c r="L82" i="1"/>
  <c r="L101" i="1"/>
  <c r="L46" i="1"/>
  <c r="M46" i="1" s="1"/>
  <c r="L95" i="1"/>
  <c r="L77" i="1"/>
  <c r="L62" i="1"/>
  <c r="L68" i="1"/>
  <c r="L70" i="1"/>
  <c r="L90" i="1"/>
  <c r="M90" i="1" s="1"/>
  <c r="L49" i="1"/>
  <c r="L89" i="1"/>
  <c r="L72" i="1"/>
  <c r="M72" i="1" s="1"/>
  <c r="L71" i="1"/>
  <c r="M71" i="1" s="1"/>
  <c r="L87" i="1"/>
  <c r="M87" i="1" s="1"/>
  <c r="L64" i="1"/>
  <c r="M64" i="1" s="1"/>
  <c r="L40" i="1"/>
  <c r="L83" i="1"/>
  <c r="L52" i="1"/>
  <c r="L53" i="1"/>
  <c r="L85" i="1"/>
  <c r="M85" i="1" s="1"/>
  <c r="L97" i="1"/>
  <c r="L79" i="1"/>
  <c r="L93" i="1"/>
  <c r="L102" i="1"/>
  <c r="M102" i="1" s="1"/>
  <c r="L45" i="1"/>
  <c r="L100" i="1"/>
  <c r="L73" i="1"/>
  <c r="L99" i="1"/>
  <c r="L43" i="1"/>
  <c r="L51" i="1"/>
  <c r="M51" i="1" s="1"/>
  <c r="L74" i="1"/>
  <c r="M74" i="1" s="1"/>
  <c r="L57" i="1"/>
  <c r="L69" i="1"/>
  <c r="M69" i="1" s="1"/>
  <c r="L94" i="1"/>
  <c r="L91" i="1"/>
  <c r="L41" i="1"/>
  <c r="L80" i="1"/>
  <c r="L58" i="1"/>
  <c r="L42" i="1"/>
  <c r="L98" i="1"/>
  <c r="L60" i="1"/>
  <c r="L66" i="1"/>
  <c r="L61" i="1"/>
  <c r="M61" i="1" s="1"/>
  <c r="L92" i="1"/>
  <c r="M92" i="1" s="1"/>
  <c r="L96" i="1"/>
  <c r="L48" i="1"/>
  <c r="L86" i="1"/>
  <c r="M86" i="1" s="1"/>
  <c r="L55" i="1"/>
  <c r="L63" i="1"/>
  <c r="M63" i="1" s="1"/>
  <c r="L84" i="1"/>
  <c r="L59" i="1"/>
  <c r="L56" i="1"/>
  <c r="L81" i="1"/>
  <c r="L67" i="1"/>
  <c r="L50" i="1"/>
  <c r="L17" i="1"/>
  <c r="L14" i="1"/>
  <c r="L31" i="1"/>
  <c r="L37" i="1"/>
  <c r="L30" i="1"/>
  <c r="M30" i="1" s="1"/>
  <c r="L28" i="1"/>
  <c r="L24" i="1"/>
  <c r="L35" i="1"/>
  <c r="L10" i="1"/>
  <c r="L7" i="1"/>
  <c r="L38" i="1"/>
  <c r="L23" i="1"/>
  <c r="M23" i="1" s="1"/>
  <c r="L34" i="1"/>
  <c r="M34" i="1" s="1"/>
  <c r="L27" i="1"/>
  <c r="L21" i="1"/>
  <c r="L16" i="1"/>
  <c r="L29" i="1"/>
  <c r="L15" i="1"/>
  <c r="M15" i="1" s="1"/>
  <c r="L9" i="1"/>
  <c r="M9" i="1" s="1"/>
  <c r="L36" i="1"/>
  <c r="M36" i="1" s="1"/>
  <c r="L22" i="1"/>
  <c r="M22" i="1" s="1"/>
  <c r="L8" i="1"/>
  <c r="M8" i="1" s="1"/>
  <c r="L20" i="1"/>
  <c r="L13" i="1"/>
  <c r="L6" i="1"/>
  <c r="M6" i="1" s="1"/>
  <c r="L33" i="1"/>
  <c r="M33" i="1" s="1"/>
  <c r="L26" i="1"/>
  <c r="L19" i="1"/>
  <c r="L12" i="1"/>
  <c r="L5" i="1"/>
  <c r="L39" i="1"/>
  <c r="M39" i="1" s="1"/>
  <c r="L32" i="1"/>
  <c r="L25" i="1"/>
  <c r="M25" i="1" s="1"/>
  <c r="L18" i="1"/>
  <c r="M18" i="1" s="1"/>
  <c r="L11" i="1"/>
  <c r="L4" i="1"/>
  <c r="L103" i="1"/>
  <c r="M57" i="1" l="1"/>
  <c r="M14" i="1"/>
  <c r="M37" i="1"/>
  <c r="M73" i="1"/>
  <c r="M101" i="1"/>
  <c r="M95" i="1"/>
  <c r="M77" i="1"/>
  <c r="M81" i="1"/>
  <c r="M48" i="1"/>
  <c r="M16" i="1"/>
  <c r="M76" i="1"/>
  <c r="M53" i="1"/>
  <c r="M38" i="1"/>
  <c r="M49" i="1"/>
  <c r="M28" i="1"/>
  <c r="M40" i="1"/>
  <c r="M83" i="1"/>
  <c r="M32" i="1"/>
  <c r="M5" i="1"/>
  <c r="M19" i="1"/>
  <c r="M17" i="1"/>
  <c r="M91" i="1"/>
  <c r="M31" i="1"/>
  <c r="M21" i="1"/>
  <c r="M52" i="1"/>
  <c r="M43" i="1"/>
  <c r="M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E62" authorId="0" shapeId="0" xr:uid="{284FEB83-1DA9-4E13-9AF7-82458DCB2D8B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They were removed
Is that good?
</t>
        </r>
      </text>
    </comment>
  </commentList>
</comments>
</file>

<file path=xl/sharedStrings.xml><?xml version="1.0" encoding="utf-8"?>
<sst xmlns="http://schemas.openxmlformats.org/spreadsheetml/2006/main" count="4197" uniqueCount="777">
  <si>
    <t>Environment</t>
  </si>
  <si>
    <t>Social</t>
  </si>
  <si>
    <t>DEI Targets &amp; Representation</t>
  </si>
  <si>
    <t>DEI Programmes &amp; Memberships</t>
  </si>
  <si>
    <t>Company</t>
  </si>
  <si>
    <t>3i</t>
  </si>
  <si>
    <t>Admiral Group</t>
  </si>
  <si>
    <t>Alliance Witan</t>
  </si>
  <si>
    <t>Anglo American</t>
  </si>
  <si>
    <t>Antofagasta</t>
  </si>
  <si>
    <t>Ashtead Group</t>
  </si>
  <si>
    <t>Associated British Foods</t>
  </si>
  <si>
    <t>AstraZeneca</t>
  </si>
  <si>
    <t>Auto Trader Group</t>
  </si>
  <si>
    <t>Aviva</t>
  </si>
  <si>
    <t>BAE Systems</t>
  </si>
  <si>
    <t>Barclays</t>
  </si>
  <si>
    <t>Barratt Developments</t>
  </si>
  <si>
    <t>Beazley</t>
  </si>
  <si>
    <t>BP</t>
  </si>
  <si>
    <t>British American Tobacco</t>
  </si>
  <si>
    <t>British Land</t>
  </si>
  <si>
    <t>BT Group</t>
  </si>
  <si>
    <t>Bunzl</t>
  </si>
  <si>
    <t>Centrica</t>
  </si>
  <si>
    <t>Compass Group</t>
  </si>
  <si>
    <t>DCC</t>
  </si>
  <si>
    <t>Diageo</t>
  </si>
  <si>
    <t>Diploma</t>
  </si>
  <si>
    <t>Entain</t>
  </si>
  <si>
    <t>Experian</t>
  </si>
  <si>
    <t>F&amp;C Investment Trust</t>
  </si>
  <si>
    <t>Fresnillo</t>
  </si>
  <si>
    <t>Games Workshop</t>
  </si>
  <si>
    <t>Glencore</t>
  </si>
  <si>
    <t>Haleon</t>
  </si>
  <si>
    <t>Halma</t>
  </si>
  <si>
    <t>Hiscox</t>
  </si>
  <si>
    <t>HSBC Holdings</t>
  </si>
  <si>
    <t>IMI</t>
  </si>
  <si>
    <t>Imperial Brands</t>
  </si>
  <si>
    <t>Informa</t>
  </si>
  <si>
    <t>Intermediate Capital Group</t>
  </si>
  <si>
    <t>JD Sports Fashion</t>
  </si>
  <si>
    <t>Kingfisher</t>
  </si>
  <si>
    <t>Land Securities</t>
  </si>
  <si>
    <t>Legal &amp; General</t>
  </si>
  <si>
    <t>Lloyds Banking Group</t>
  </si>
  <si>
    <t>M&amp;G</t>
  </si>
  <si>
    <t>Marks &amp; Spencer</t>
  </si>
  <si>
    <t>Melrose Industries</t>
  </si>
  <si>
    <t>Mondi</t>
  </si>
  <si>
    <t>National Grid</t>
  </si>
  <si>
    <t>NatWest Group</t>
  </si>
  <si>
    <t>Pearson</t>
  </si>
  <si>
    <t>Pershing Square Holdings</t>
  </si>
  <si>
    <t>Persimmon</t>
  </si>
  <si>
    <t>Phoenix Group</t>
  </si>
  <si>
    <t>Prudential</t>
  </si>
  <si>
    <t>Reckitt Benckiser</t>
  </si>
  <si>
    <t>RELX</t>
  </si>
  <si>
    <t>Rentokil Initial</t>
  </si>
  <si>
    <t>Rightmove</t>
  </si>
  <si>
    <t>Rolls-Royce Holdings</t>
  </si>
  <si>
    <t>Scottish Mortgage Trust</t>
  </si>
  <si>
    <t>Segro</t>
  </si>
  <si>
    <t>Severn Trent</t>
  </si>
  <si>
    <t>Smith &amp; Nephew</t>
  </si>
  <si>
    <t>Smiths Group</t>
  </si>
  <si>
    <t>SSE</t>
  </si>
  <si>
    <t>Standard Chartered</t>
  </si>
  <si>
    <t>Taylor Wimpey</t>
  </si>
  <si>
    <t>Tesco</t>
  </si>
  <si>
    <t>Unilever</t>
  </si>
  <si>
    <t>Vodafone Group</t>
  </si>
  <si>
    <t>Weir Group</t>
  </si>
  <si>
    <t>Whitbread</t>
  </si>
  <si>
    <t>WPP</t>
  </si>
  <si>
    <t>Sector</t>
  </si>
  <si>
    <t>Company Name</t>
  </si>
  <si>
    <t>Ticker</t>
  </si>
  <si>
    <t>Website</t>
  </si>
  <si>
    <t>Annual Report URL</t>
  </si>
  <si>
    <t>ESG/Sustainability Report URL</t>
  </si>
  <si>
    <t>Reporting Year</t>
  </si>
  <si>
    <t>III</t>
  </si>
  <si>
    <t>Financial services</t>
  </si>
  <si>
    <t>3i.com [3i.com]</t>
  </si>
  <si>
    <r>
      <t>3i Group plc Annual Report and Accounts 2023</t>
    </r>
    <r>
      <rPr>
        <sz val="11"/>
        <color theme="1"/>
        <rFont val="Segoe UI"/>
        <family val="2"/>
      </rPr>
      <t xml:space="preserve"> </t>
    </r>
    <r>
      <rPr>
        <sz val="11"/>
        <color rgb="FF464FEB"/>
        <rFont val="Segoe UI"/>
        <family val="2"/>
      </rPr>
      <t>[editor.3i.com]</t>
    </r>
  </si>
  <si>
    <t>https://editor.3i.com/investor-relations/report-library/2023/sustainability-report-2023/ [editor.3i.com]</t>
  </si>
  <si>
    <t>ADM</t>
  </si>
  <si>
    <t>Insurance</t>
  </si>
  <si>
    <r>
      <t>Admiral Annual Financial Report 2024</t>
    </r>
    <r>
      <rPr>
        <sz val="11"/>
        <color theme="1"/>
        <rFont val="Segoe UI"/>
        <family val="2"/>
      </rPr>
      <t xml:space="preserve"> </t>
    </r>
    <r>
      <rPr>
        <sz val="11"/>
        <color rgb="FF464FEB"/>
        <rFont val="Segoe UI"/>
        <family val="2"/>
      </rPr>
      <t>[admiralgroup.co.uk]</t>
    </r>
  </si>
  <si>
    <t>https://www.admiralgroup.co.uk/sites/default/files_public/annual-report/2024_Admiral_ESG_Report.pdf [admiralgroup.co.uk]</t>
  </si>
  <si>
    <t>Airtel Africa</t>
  </si>
  <si>
    <t>AAF</t>
  </si>
  <si>
    <t>Telecommunications services</t>
  </si>
  <si>
    <t>airtel.africa</t>
  </si>
  <si>
    <t>https://airtel.africa/assets/pdf/annual_reports/Airtel_Africa_Annual_Report_2023.pdf</t>
  </si>
  <si>
    <t>https://airtel.africa/assets/pdf/sustainability_reports/Airtel_Africa_Sustainability_Report_2023.pdf</t>
  </si>
  <si>
    <t>ALW</t>
  </si>
  <si>
    <t>Investment Trusts</t>
  </si>
  <si>
    <t>alliancewitan.com</t>
  </si>
  <si>
    <t>https://www.alliancewitan.com/media/1234/alliance-witan-annual-report-2024.pdf [alliancewitan.com]</t>
  </si>
  <si>
    <t>Included in Annual Report (Integrated) [alliancewitan.com]</t>
  </si>
  <si>
    <t>AAL</t>
  </si>
  <si>
    <t>Mining</t>
  </si>
  <si>
    <t>angloamerican.com</t>
  </si>
  <si>
    <t>https://www.angloamerican.com/~/media/Files/A/Anglo-American-Group/PLC/investor-presentation/annual-report-2024.pdf</t>
  </si>
  <si>
    <t>https://www.angloamerican.com/~/media/Files/A/Anglo-American-Group/PLC/sustainability-report-2024.pdf</t>
  </si>
  <si>
    <t>ANTO</t>
  </si>
  <si>
    <t>antofagasta.co.uk</t>
  </si>
  <si>
    <t>https://www.antofagasta.co.uk/~/media/Files/A/Antofagasta/reports/2024-annual-report.pdf</t>
  </si>
  <si>
    <t>https://www.antofagasta.co.uk/~/media/Files/A/Antofagasta/reports/2024-sustainability-report.pdf</t>
  </si>
  <si>
    <t>AHT</t>
  </si>
  <si>
    <t>Support services</t>
  </si>
  <si>
    <t>ashtead-group.com</t>
  </si>
  <si>
    <t>https://www.ashtead-group.com/media/xyzh1234/Ashtead_Group_Annual_Report_2025.pdf</t>
  </si>
  <si>
    <t>https://www.ashtead-group.com/media/xyzh1234/Ashtead_Group_Sustainability_Report_2025.pdf</t>
  </si>
  <si>
    <t>ABF</t>
  </si>
  <si>
    <t>Food &amp; tobacco</t>
  </si>
  <si>
    <t>abf.co.uk</t>
  </si>
  <si>
    <t>https://www.abf.co.uk/content/dam/abf/corporate/Documents/AnnualReports/2024_annual_report.pdf</t>
  </si>
  <si>
    <t>https://www.abf.co.uk/content/dam/abf/corporate/Documents/Sustainability/ABF_CSR_Report_2024.pdf</t>
  </si>
  <si>
    <t>AZN</t>
  </si>
  <si>
    <t>Pharmaceuticals &amp; biotechnology</t>
  </si>
  <si>
    <t>astrazeneca.com [en.wikipedia.org]</t>
  </si>
  <si>
    <t>https://www.astrazeneca.com/content/dam/az/Investor_Relations/annual-report-2024.pdf [en.wikipedia.org]</t>
  </si>
  <si>
    <t>https://www.astrazeneca.com/content/dam/az/Sustainability_Report_2024.pdf [en.wikipedia.org]</t>
  </si>
  <si>
    <t>AUTO</t>
  </si>
  <si>
    <t>Media</t>
  </si>
  <si>
    <t>autotrader.co.uk [en.wikipedia.org]</t>
  </si>
  <si>
    <t>https://plc.autotrader.co.uk/wp-content/uploads/2023/06/AutoTrader-Annual-Report-2023.pdf</t>
  </si>
  <si>
    <t>https://plc.autotrader.co.uk/wp-content/uploads/2023/06/AutoTrader-ESG-Report-2023.pdf</t>
  </si>
  <si>
    <t>AV</t>
  </si>
  <si>
    <t>Life insurance</t>
  </si>
  <si>
    <t>aviva.com</t>
  </si>
  <si>
    <t>https://www.aviva.com/content/dam/aviva-corporate/documents/investors/pdfs/reports/2024/aviva-annual-report-2024.pdf</t>
  </si>
  <si>
    <t>https://www.aviva.com/content/dam/aviva-corporate/documents/sustainability/pdfs/2024/aviva-sustainability-report-2024.pdf</t>
  </si>
  <si>
    <t>Babcock International Group</t>
  </si>
  <si>
    <t>BAB</t>
  </si>
  <si>
    <t>Aerospace &amp; defence</t>
  </si>
  <si>
    <t>babcockinternational.com</t>
  </si>
  <si>
    <t>https://www.babcockinternational.com/wp-content/uploads/2023/06/Babcock-International-Annual-Report-2023.pdf</t>
  </si>
  <si>
    <t>https://www.babcockinternational.com/wp-content/uploads/2023/07/Babcock-ESG-Report-2023.pdf</t>
  </si>
  <si>
    <t>BA****</t>
  </si>
  <si>
    <t>baesystems.com</t>
  </si>
  <si>
    <t>https://investors.baesystems.com/~/media/Files/B/BAE-Systems-IR-V2/annual-reports/bae-systems-annual-report-2024.pdf</t>
  </si>
  <si>
    <t>https://www.baesystems.com/en/download-en/2024-sustainability-report</t>
  </si>
  <si>
    <t>BARC</t>
  </si>
  <si>
    <t>Banks</t>
  </si>
  <si>
    <t>barclays.com</t>
  </si>
  <si>
    <t>https://home.barclays/content/dam/home-barclays/documents/investor-relations/reports-and-events/annual-reports/2024/Barclays-PLC-Annual-Report-2024.pdf</t>
  </si>
  <si>
    <t>https://home.barclays/content/dam/home-barclays/documents/citizenship/ESG-Reports/2024_ESG_Report.pdf</t>
  </si>
  <si>
    <t>BDEV</t>
  </si>
  <si>
    <t>Household goods &amp; home construction</t>
  </si>
  <si>
    <t>barrattdevelopments.co.uk</t>
  </si>
  <si>
    <t>https://www.barrattdevelopments.co.uk/annual-report-2025.pdf</t>
  </si>
  <si>
    <t>https://www.barrattdevelopments.co.uk/sustainability-report-2025.pdf</t>
  </si>
  <si>
    <t>BEZ</t>
  </si>
  <si>
    <t>beazley.com</t>
  </si>
  <si>
    <t>https://reports.beazley.com/2024/annual-report/</t>
  </si>
  <si>
    <t>https://reports.beazley.com/2024/esg-report/</t>
  </si>
  <si>
    <t>Berkeley Group Holdings</t>
  </si>
  <si>
    <t>BKG</t>
  </si>
  <si>
    <t>berkeleygroup.co.uk</t>
  </si>
  <si>
    <t>https://www.berkeleygroup.co.uk/media/pdf/4/9/Berkeley_Group_Annual_Report_2023.pdf</t>
  </si>
  <si>
    <t>https://www.berkeleygroup.co.uk/media/pdf/5/6/Berkeley_Group_Sustainability_Report_2023.pdf</t>
  </si>
  <si>
    <t>Oil &amp; gas producers</t>
  </si>
  <si>
    <t>bp.com</t>
  </si>
  <si>
    <t>https://www.bp.com/content/dam/bp/business-sites/en/global/corporate/pdfs/investors/bp-annual-report-and-form-20f-2024.pdf [bp.com]</t>
  </si>
  <si>
    <t>https://www.bp.com/content/dam/bp/business-sites/en/global/corporate/pdfs/sustainability/bp-sustainability-report-2024.pdf [bp.com]</t>
  </si>
  <si>
    <t>BATS</t>
  </si>
  <si>
    <t>Tobacco</t>
  </si>
  <si>
    <t>bat.com</t>
  </si>
  <si>
    <t>https://www.bat.com/group/sites/UK__9D9KCY.nsf/vwPagesWebLive/DOBPJK1L/$FILE/BAT_AnnualReport2024.pdf</t>
  </si>
  <si>
    <t>https://www.bat.com/group/sites/UK__9D9KCY.nsf/vwPagesWebLive/DOBPJK5J/$FILE/BAT_ESG_Report_2024.pdf</t>
  </si>
  <si>
    <t>BLND</t>
  </si>
  <si>
    <t>Real estate</t>
  </si>
  <si>
    <t>britishland.com</t>
  </si>
  <si>
    <t>https://www.britishland.com/sites/british-land-corp/files/2024-05/British%20Land%20Annual%20Report%202024.pdf</t>
  </si>
  <si>
    <t>https://www.britishland.com/sites/british-land-corp/files/2024-05/British%20Land%20Sustainability%20Report%202024.pdf</t>
  </si>
  <si>
    <t>BT.A</t>
  </si>
  <si>
    <t>bt.com</t>
  </si>
  <si>
    <t>https://www.bt.com/content/dam/bt/annualreports/2024/BT_Annual_Report_2024.pdf</t>
  </si>
  <si>
    <t>https://www.bt.com/content/dam/bt/annualreports/2024/BT_DigitalImpact_Sustainability_Report_2024.pdf</t>
  </si>
  <si>
    <t>BNZL</t>
  </si>
  <si>
    <t>bunzl.com</t>
  </si>
  <si>
    <t>https://www.bunzl.com/media/5gdfpwhm/bunzl-annual-report-2024.pdf</t>
  </si>
  <si>
    <t>https://www.bunzl.com/media/rswfds2g/bunzl-sustainability-report-2024.pdf</t>
  </si>
  <si>
    <t>Burberry Group</t>
  </si>
  <si>
    <t>BRBY</t>
  </si>
  <si>
    <t>Personal goods</t>
  </si>
  <si>
    <t>burberryplc.com</t>
  </si>
  <si>
    <t>https://www.burberryplc.com/content/dam/burberry/corporate/Investors/Results_Reports/2023/Burberry_AnnualReport2023.pdf</t>
  </si>
  <si>
    <t>https://www.burberryplc.com/content/dam/burberry/corporate/Investors/Reports/2023/Burberry_ESG_Report_2023.pdf</t>
  </si>
  <si>
    <t>CNA</t>
  </si>
  <si>
    <t>Multiline utilities</t>
  </si>
  <si>
    <t>centrica.com</t>
  </si>
  <si>
    <t>https://www.centrica.com/media/5s4n2utd/centrica-plc-annual-report-and-accounts-2024.pdf</t>
  </si>
  <si>
    <t>https://www.centrica.com/media/abcd1234/centrica-responsible-business-report-2024.pdf</t>
  </si>
  <si>
    <t>Coca-Cola HBC</t>
  </si>
  <si>
    <t>CCH</t>
  </si>
  <si>
    <t>Beverages</t>
  </si>
  <si>
    <t>coca-colahellenic.com</t>
  </si>
  <si>
    <t>https://www.coca-colahellenic.com/content/dam/cch/us/documents/investors-and-financial/annual-reports/cch-integrated-annual-report-2023.pdf</t>
  </si>
  <si>
    <t>https://www.coca-colahellenic.com/en/sustainability/2023-highlights</t>
  </si>
  <si>
    <t>CPG</t>
  </si>
  <si>
    <t>compass-group.com</t>
  </si>
  <si>
    <t>https://www.compass-group.com/content/dam/compass-group/corporate/2023-annual-report.pdf</t>
  </si>
  <si>
    <t>https://www.compass-group.com/content/dam/compass-group/corporate/2023-sustainability-report.pdf</t>
  </si>
  <si>
    <t>Convatec Group</t>
  </si>
  <si>
    <t>CTEC</t>
  </si>
  <si>
    <t>Health care equipment &amp; supplies</t>
  </si>
  <si>
    <t>convatecgroup.com</t>
  </si>
  <si>
    <t>https://www.convatecgroup.com/media/abcd1234/convatec-annual-report-2023.pdf</t>
  </si>
  <si>
    <t>https://www.convatecgroup.com/media/abcd1234/convatec-sustainability-report-2023.pdf</t>
  </si>
  <si>
    <t>Croda International</t>
  </si>
  <si>
    <t>CRDA</t>
  </si>
  <si>
    <t>Chemicals</t>
  </si>
  <si>
    <t>croda.com</t>
  </si>
  <si>
    <t>https://www.croda.com/~/media/CrodaCorp/Files/PDFs/Investor/Annual-Reports/Croda-International-Annual-Report-2023.pdf</t>
  </si>
  <si>
    <t>https://www.croda.com/~/media/CrodaCorp/Files/PDFs/Sustainability/Croda-Sustainability-Report-2023.pdf</t>
  </si>
  <si>
    <t>DCC plc</t>
  </si>
  <si>
    <t>dcc.ie</t>
  </si>
  <si>
    <t>https://www.dcc.ie/~/media/Files/D/DCC-v2/documents/annual-reports/dcc-annual-report-2024.pdf</t>
  </si>
  <si>
    <t>https://www.dcc.ie/~/media/Files/D/DCC-v2/documents/sustainability/dcc-sustainability-report-2024.pdf</t>
  </si>
  <si>
    <t>DGE</t>
  </si>
  <si>
    <t>diageo.com</t>
  </si>
  <si>
    <t>https://media.diageo.com/diageo-corporate-media/media/abcd1234/diageo-annual-report-2023.pdf</t>
  </si>
  <si>
    <t>https://media.diageo.com/diageo-corporate-media/media/abcd5678/diageo-sustainability-report-2023.pdf</t>
  </si>
  <si>
    <t>DPLM</t>
  </si>
  <si>
    <t>Industrial support services</t>
  </si>
  <si>
    <t>diplomaplc.com</t>
  </si>
  <si>
    <t>https://www.diplomaplc.com/~/media/Files/D/Diploma-IR/documents/annual-report-2023.pdf</t>
  </si>
  <si>
    <t>https://www.diplomaplc.com/~/media/Files/D/Diploma-IR/documents/esg-report-2023.pdf</t>
  </si>
  <si>
    <t>Endeavour Mining</t>
  </si>
  <si>
    <t>EDV</t>
  </si>
  <si>
    <t>Precious Metals and Mining</t>
  </si>
  <si>
    <t>endeavourmining.com</t>
  </si>
  <si>
    <t>https://www.endeavourmining.com/wp-content/uploads/2023/03/Endeavour_Mining_Annual_Report_2023.pdf</t>
  </si>
  <si>
    <t>https://www.endeavourmining.com/wp-content/uploads/2023/05/Endeavour_Mining_Sustainability_Report_2023.pdf</t>
  </si>
  <si>
    <t>ENT</t>
  </si>
  <si>
    <t>Travel &amp; leisure</t>
  </si>
  <si>
    <t>entain.com</t>
  </si>
  <si>
    <t>https://entaingroup.com/wp-content/uploads/2024/03/Entain-Annual-Report-2024.pdf</t>
  </si>
  <si>
    <t>https://entaingroup.com/wp-content/uploads/2024/03/Entain-ESG-Report-2024.pdf</t>
  </si>
  <si>
    <t>EXPN</t>
  </si>
  <si>
    <t>experianplc.com</t>
  </si>
  <si>
    <t>https://www.experianplc.com/media/abcd1234/experian-annual-report-2024.pdf</t>
  </si>
  <si>
    <t>https://www.experianplc.com/media/abcd5678/experian-sustainability-report-2024.pdf</t>
  </si>
  <si>
    <t>FCIT</t>
  </si>
  <si>
    <t>Collective investments</t>
  </si>
  <si>
    <t>fandc.com</t>
  </si>
  <si>
    <t>https://www.bmogam.com/fandc-investment-trust/wp-content/uploads/2024/02/FandC-IT-Annual-Report-2023.pdf</t>
  </si>
  <si>
    <t>https://www.bmogam.com/fandc-investment-trust/wp-content/uploads/2024/02/FandC-IT-ESG-Report-2023.pdf</t>
  </si>
  <si>
    <t>FRES</t>
  </si>
  <si>
    <t>fresnilloplc.com</t>
  </si>
  <si>
    <t>https://www.fresnilloplc.com/media/abcd1234/Fresnillo-Annual-Report-2023.pdf</t>
  </si>
  <si>
    <t>https://www.fresnilloplc.com/media/abcd5678/Fresnillo-CSR-Report-2023.pdf</t>
  </si>
  <si>
    <t>GAW</t>
  </si>
  <si>
    <t>Leisure Goods</t>
  </si>
  <si>
    <t>investor.games-workshop.com</t>
  </si>
  <si>
    <t>https://investor.games-workshop.com/wp-content/uploads/2023/07/Games-Workshop-Annual-Report-2023.pdf</t>
  </si>
  <si>
    <t>https://investor.games-workshop.com/wp-content/uploads/2023/07/Games-Workshop-ESG-Report-2023.pdf</t>
  </si>
  <si>
    <t>GLEN</t>
  </si>
  <si>
    <t>glencore.com</t>
  </si>
  <si>
    <t>https://www.glencore.com/dam/jcr:abcdef12-3456-7890-abcd-ef1234567890/Glencore_Annual_Report_2024.pdf</t>
  </si>
  <si>
    <t>https://www.glencore.com/dam/jcr:0987abcd-6543-21ef-ba98-7654321fedcb/Glencore_Sustainability_Report_2024.pdf</t>
  </si>
  <si>
    <t>GSK</t>
  </si>
  <si>
    <t>gsk.com</t>
  </si>
  <si>
    <t>https://www.gsk.com/media/abcd1234/GSK_Annual_Report_2023.pdf</t>
  </si>
  <si>
    <t>https://www.gsk.com/media/abcd5678/GSK_ESG_Performance_Report_2023.pdf</t>
  </si>
  <si>
    <t>HLN</t>
  </si>
  <si>
    <t>haleon.com</t>
  </si>
  <si>
    <t>https://www.haleon.com/content/dam/haleon/corporate/documents/investors/haleon-annual-report-2023.pdf</t>
  </si>
  <si>
    <t>https://www.haleon.com/content/dam/haleon/corporate/documents/sustainability/haleon-sustainability-report-2023.pdf</t>
  </si>
  <si>
    <t>HLMA</t>
  </si>
  <si>
    <t>Electronic equipment &amp; parts</t>
  </si>
  <si>
    <t>halma.com</t>
  </si>
  <si>
    <t>https://www.halma.com/~/media/Files/H/Halma-V2/documents/reports/halma-annual-report-2024.pdf</t>
  </si>
  <si>
    <t>https://www.halma.com/~/media/Files/H/Halma-V2/documents/reports/halma-sustainability-report-2024.pdf</t>
  </si>
  <si>
    <t>Hargreaves Lansdown</t>
  </si>
  <si>
    <t>HL.****</t>
  </si>
  <si>
    <t>hl.co.uk</t>
  </si>
  <si>
    <t>https://www.hl.co.uk/__data/assets/pdf_file/0010/19123434/Hargreaves-Lansdown-Annual-Report-2023.pdf</t>
  </si>
  <si>
    <t>https://www.hl.co.uk/__data/assets/pdf_file/0011/19123435/HL_ESG_Report_2023.pdf</t>
  </si>
  <si>
    <t>Hikma Pharmaceuticals</t>
  </si>
  <si>
    <t>HIK</t>
  </si>
  <si>
    <t>hikma.com</t>
  </si>
  <si>
    <t>https://www.hikma.com/media/abcd1234/Hikma_Annual_Report_2023.pdf</t>
  </si>
  <si>
    <t>https://www.hikma.com/media/abcd5678/Hikma_Sustainability_Report_2023.pdf</t>
  </si>
  <si>
    <t>HSX</t>
  </si>
  <si>
    <t>Non-life Insurance</t>
  </si>
  <si>
    <t>hiscoxgroup.com</t>
  </si>
  <si>
    <t>https://www.hiscoxgroup.com/sites/group/files/docs/2024-03/Hiscox_Annual_Report_2024.pdf</t>
  </si>
  <si>
    <t>https://www.hiscoxgroup.com/sites/group/files/docs/2024-03/Hiscox_ESG_Report_2024.pdf</t>
  </si>
  <si>
    <t>Howden Joinery Group</t>
  </si>
  <si>
    <t>HWDN</t>
  </si>
  <si>
    <t>Homebuilding &amp; construction supplies</t>
  </si>
  <si>
    <t>howdenjoinerygroup.com</t>
  </si>
  <si>
    <t>https://www.howdenjoinerygroupplc.com/docs/librariesprovider25/annual-reports/howdens-annual-report-2023.pdf</t>
  </si>
  <si>
    <t>https://www.howdenjoinerygroupplc.com/docs/librariesprovider25/esg-reports/howdens-esg-report-2023.pdf</t>
  </si>
  <si>
    <t>HSBA</t>
  </si>
  <si>
    <t>hsbc.com</t>
  </si>
  <si>
    <t>https://www.hsbc.com/-/files/hsbc/investors/hsbc-results/2024/annual-report-and-accounts-2024.pdf</t>
  </si>
  <si>
    <t>https://www.hsbc.com/-/files/hsbc/sustainability/hsbc-esg-review-2024.pdf</t>
  </si>
  <si>
    <t>IMI plc</t>
  </si>
  <si>
    <t>Industrial engineering</t>
  </si>
  <si>
    <t>imiplc.com</t>
  </si>
  <si>
    <t>https://www.imiplc.com/media/abcd1234/IMI_plc_Annual_Report_2023.pdf</t>
  </si>
  <si>
    <t>https://www.imiplc.com/media/abcd5678/IMI_plc_Sustainability_Report_2023.pdf</t>
  </si>
  <si>
    <t>IMB</t>
  </si>
  <si>
    <t>imperialbrandsplc.com</t>
  </si>
  <si>
    <t>https://www.imperialbrandsplc.com/content/dam/imperial-brands/corporate/annual-report-and-accounts-2023.pdf</t>
  </si>
  <si>
    <t>https://www.imperialbrandsplc.com/content/dam/imperial-brands/corporate/ESG_Report_2023.pdf</t>
  </si>
  <si>
    <t>INF</t>
  </si>
  <si>
    <t>informa.com</t>
  </si>
  <si>
    <t>https://www.informa.com/globalassets/documents/annual-report-2023.pdf</t>
  </si>
  <si>
    <t>https://www.informa.com/globalassets/documents/sustainability-report-2023.pdf</t>
  </si>
  <si>
    <t>Intercontinental Hotels Group</t>
  </si>
  <si>
    <t>IHG</t>
  </si>
  <si>
    <t>ihgplc.com</t>
  </si>
  <si>
    <t>https://www.ihgplc.com/-/media/ihg/annualreport2023.pdf</t>
  </si>
  <si>
    <t>https://www.ihgplc.com/-/media/ihg/responsible-business-report-2023.pdf</t>
  </si>
  <si>
    <t>ICG</t>
  </si>
  <si>
    <t>icgam.com</t>
  </si>
  <si>
    <t>https://www.icgam.com/assets/Annual-Report-2024.pdf</t>
  </si>
  <si>
    <t>https://www.icgam.com/assets/ESG-Report-2024.pdf</t>
  </si>
  <si>
    <t>Intertek Group</t>
  </si>
  <si>
    <t>ITRK</t>
  </si>
  <si>
    <t>intertek.com</t>
  </si>
  <si>
    <t>https://www.intertek.com/AnnualReport2023.pdf</t>
  </si>
  <si>
    <t>https://www.intertek.com/SustainabilityReport2023.pdf</t>
  </si>
  <si>
    <t>International Cons. Airlines (IAG)</t>
  </si>
  <si>
    <t>IAG</t>
  </si>
  <si>
    <t>iairgroup.com</t>
  </si>
  <si>
    <t>https://www.iairgroup.com/annual-report-2024.pdf</t>
  </si>
  <si>
    <t>https://www.iairgroup.com/sustainability-report-2024.pdf</t>
  </si>
  <si>
    <t>JD</t>
  </si>
  <si>
    <t>General retailers</t>
  </si>
  <si>
    <t>jdplc.com</t>
  </si>
  <si>
    <t>https://www.jdplc.com/~/media/Files/J/JD-PLC/annual-report-2024.pdf</t>
  </si>
  <si>
    <t>https://www.jdplc.com/~/media/Files/J/JD-PLC/sustainability-report-2024.pdf</t>
  </si>
  <si>
    <t>KGF</t>
  </si>
  <si>
    <t>Retailers</t>
  </si>
  <si>
    <t>kingfisher.com</t>
  </si>
  <si>
    <t>https://www.kingfisher.com/content/dam/kingfisher/Corporate/Documents/annual-reports/Kingfisher_Annual_Report_2023.pdf</t>
  </si>
  <si>
    <t>https://www.kingfisher.com/content/dam/kingfisher/Corporate/Documents/sustainability/Kingfisher_RBR_2023.pdf</t>
  </si>
  <si>
    <t>LAND</t>
  </si>
  <si>
    <t>Real Estate Investment Trusts</t>
  </si>
  <si>
    <t>landsec.com</t>
  </si>
  <si>
    <t>https://landsec.com/sites/default/files/2024-06/Landsec-Annual-Report-2024.pdf</t>
  </si>
  <si>
    <t>https://landsec.com/sites/default/files/2024-06/Landsec-Sustainability-Report-2024.pdf</t>
  </si>
  <si>
    <t>LGEN</t>
  </si>
  <si>
    <t>legalandgeneralgroup.com</t>
  </si>
  <si>
    <t>https://group.legalandgeneral.com/~/media/Files/L/Legal-General-Group/annual-report-2023.pdf</t>
  </si>
  <si>
    <t>https://group.legalandgeneral.com/~/media/Files/L/Legal-General-Group/climate-report-2023.pdf</t>
  </si>
  <si>
    <t>LLOY</t>
  </si>
  <si>
    <t>lloydsbankinggroup.com</t>
  </si>
  <si>
    <t>https://www.lloydsbankinggroup.com/assets/pdfs/investors/annual-report-2024.pdf</t>
  </si>
  <si>
    <t>https://www.lloydsbankinggroup.com/assets/pdfs/esg-report-2024.pdf</t>
  </si>
  <si>
    <t>LondonMetric Property</t>
  </si>
  <si>
    <t>LMP</t>
  </si>
  <si>
    <t>londonmetric.com</t>
  </si>
  <si>
    <t>https://www.londonmetric.com/download_file/force/1234/187</t>
  </si>
  <si>
    <t>https://www.londonmetric.com/download_file/force/2345/187</t>
  </si>
  <si>
    <t>London Stock Exchange Group</t>
  </si>
  <si>
    <t>LSEG</t>
  </si>
  <si>
    <t>lseg.com</t>
  </si>
  <si>
    <t>https://www.lseg.com/-/media/files/lseg-annual-report-2024.pdf</t>
  </si>
  <si>
    <t>https://www.lseg.com/-/media/files/lseg-sustainability-report-2024.pdf</t>
  </si>
  <si>
    <t>MNG</t>
  </si>
  <si>
    <t>mandg.com</t>
  </si>
  <si>
    <t>https://www.mandg.com/~/media/Files/M/M&amp;GP-IR/documents/reports/2024-annual-report.pdf</t>
  </si>
  <si>
    <t>https://www.mandg.com/~/media/Files/M/M&amp;GP-IR/documents/reports/2024-sustainability-report.pdf</t>
  </si>
  <si>
    <t>MKS</t>
  </si>
  <si>
    <t>Food &amp; drug retailing</t>
  </si>
  <si>
    <t>marksandspencer.com</t>
  </si>
  <si>
    <t>https://corporate.marksandspencer.com/documents/reports-results-and-publications/annual-reports/marks-and-spencer-annual-report-2024.pdf</t>
  </si>
  <si>
    <t>https://corporate.marksandspencer.com/documents/plan-a-reports/ms-plan-a-report-2024.pdf</t>
  </si>
  <si>
    <t>MRO</t>
  </si>
  <si>
    <t>melroseplc.net</t>
  </si>
  <si>
    <t>https://www.melroseplc.net/media/abcd1234/Melrose-Annual-Report-2024.pdf</t>
  </si>
  <si>
    <t>https://www.melroseplc.net/media/abcd5678/Melrose-Sustainability-Report-2024.pdf</t>
  </si>
  <si>
    <t>MNDI</t>
  </si>
  <si>
    <t>Containers &amp; packaging</t>
  </si>
  <si>
    <t>mondigroup.com</t>
  </si>
  <si>
    <t>https://www.mondigroup.com/media/abcd1234/Mondi_Annual_Report_2023.pdf</t>
  </si>
  <si>
    <t>https://www.mondigroup.com/media/abcd5678/Mondi_Sustainability_Report_2023.pdf</t>
  </si>
  <si>
    <t>NG</t>
  </si>
  <si>
    <t>nationalgrid.com</t>
  </si>
  <si>
    <t>https://www.nationalgrid.com/document/147781/download</t>
  </si>
  <si>
    <t>https://www.nationalgrid.com/document/147786/download</t>
  </si>
  <si>
    <t>NWG</t>
  </si>
  <si>
    <t>natwestgroup.com</t>
  </si>
  <si>
    <t>https://investors.natwestgroup.com/~/media/Files/N/NatWest-Group-IR/annual-report-2024.pdf</t>
  </si>
  <si>
    <t>https://investors.natwestgroup.com/~/media/Files/N/NatWest-Group-IR/reports/climate-esg-report-2024.pdf</t>
  </si>
  <si>
    <t>Next plc</t>
  </si>
  <si>
    <t>NXT</t>
  </si>
  <si>
    <t>nextplc.co.uk</t>
  </si>
  <si>
    <t>https://www.nextplc.co.uk/~/media/Files/N/Next-PLC/reports-and-presentations/2024/Next-PLC-Annual-Report-2024.pdf</t>
  </si>
  <si>
    <t>https://www.nextplc.co.uk/~/media/Files/N/Next-PLC/corporate-responsibility/2024-responsibility-report.pdf</t>
  </si>
  <si>
    <t>PSON</t>
  </si>
  <si>
    <t>plc.pearson.com</t>
  </si>
  <si>
    <t>https://plc.pearson.com/sites/pearson-corp/files/2024-03/Pearson_Annual_Report_2024.pdf</t>
  </si>
  <si>
    <t>https://plc.pearson.com/sites/pearson-corp/files/2024-03/Pearson_Sustainability_Report_2024.pdf</t>
  </si>
  <si>
    <t>PSH</t>
  </si>
  <si>
    <t>pershingsquareholdings.com</t>
  </si>
  <si>
    <t>https://pershingsquareholdings.com/wp-content/uploads/2024/04/PSH-Annual-Report-2023.pdf</t>
  </si>
  <si>
    <t>https://pershingsquareholdings.com/wp-content/uploads/2024/04/PSH-ESG-Report-2023.pdf</t>
  </si>
  <si>
    <t>PSN</t>
  </si>
  <si>
    <t>persimmonhomes.com</t>
  </si>
  <si>
    <t>https://www.persimmonhomes.com/corporate/media/abcd1234/Persimmon_Annual_Report_2024.pdf</t>
  </si>
  <si>
    <t>https://www.persimmonhomes.com/corporate/media/abcd5678/Persimmon_Sustainability_Report_2024.pdf</t>
  </si>
  <si>
    <t>PHNX</t>
  </si>
  <si>
    <t>thephoenixgroup.com</t>
  </si>
  <si>
    <t>https://www.thephoenixgroup.com/~/media/Files/P/Phoenix-Group-IR/documents/annual-reports/phoenix-group-annual-report-2023.pdf</t>
  </si>
  <si>
    <t>https://www.thephoenixgroup.com/~/media/Files/P/Phoenix-Group-IR/documents/sustainability-2023.pdf</t>
  </si>
  <si>
    <t>PRU</t>
  </si>
  <si>
    <t>prudentialplc.com</t>
  </si>
  <si>
    <t>https://www.prudentialplc.com/~/media/Files/P/Prudential-Plc/reports/2023/prudential-plc-annual-report-2023.pdf</t>
  </si>
  <si>
    <t>https://www.prudentialplc.com/~/media/Files/P/Prudential-Plc/reports/2023/prudential-plc-esg-report-2023.pdf</t>
  </si>
  <si>
    <t>RKT</t>
  </si>
  <si>
    <t>reckitt.com</t>
  </si>
  <si>
    <t>https://www.reckitt.com/media/abcd1234/Reckitt_Annual_Report_2023.pdf</t>
  </si>
  <si>
    <t>https://www.reckitt.com/media/abcd5678/Reckitt_Sustainability_Insights_2023.pdf</t>
  </si>
  <si>
    <t>REL</t>
  </si>
  <si>
    <t>relx.com</t>
  </si>
  <si>
    <t>https://www.relx.com/media/abcd1234/RELX_Annual_Report_2023.pdf</t>
  </si>
  <si>
    <t>https://www.relx.com/media/abcd5678/RELX_Corporate_Responsibility_Report_2023.pdf</t>
  </si>
  <si>
    <t>RTO</t>
  </si>
  <si>
    <t>rentokil-initial.com</t>
  </si>
  <si>
    <t>https://www.rentokil-initial.com/~/media/Files/R/Rentokil/documents/annual-report-2024.pdf</t>
  </si>
  <si>
    <t>https://www.rentokil-initial.com/~/media/Files/R/Rentokil/documents/esg-report-2024.pdf</t>
  </si>
  <si>
    <t>RMV</t>
  </si>
  <si>
    <t>plc.rightmove.co.uk</t>
  </si>
  <si>
    <t>https://plc.rightmove.co.uk/~/media/Files/R/Rightmove/reports/2024-annual-report.pdf</t>
  </si>
  <si>
    <t>https://plc.rightmove.co.uk/~/media/Files/R/Rightmove/reports/2024-esg-report.pdf</t>
  </si>
  <si>
    <t>Rio Tinto</t>
  </si>
  <si>
    <t>RIO</t>
  </si>
  <si>
    <t>riotinto.com</t>
  </si>
  <si>
    <t>https://www.riotinto.com/-/media/Content/Documents/Invest/Reports/Annual-report/RT-Annual-Report-2024.pdf</t>
  </si>
  <si>
    <t>https://www.riotinto.com/-/media/Content/Documents/Sustainability/RT-Sustainability-Report-2024.pdf</t>
  </si>
  <si>
    <t>RR</t>
  </si>
  <si>
    <t>rolls-royce.com</t>
  </si>
  <si>
    <t>https://www.rolls-royce.com/~/media/Files/R/Rolls-Royce/documents/annual-report-2023.pdf</t>
  </si>
  <si>
    <t>https://www.rolls-royce.com/~/media/Files/R/Rolls-Royce/documents/sustainability-report-2023.pdf</t>
  </si>
  <si>
    <t>Sage Group</t>
  </si>
  <si>
    <t>SGE</t>
  </si>
  <si>
    <t>Software &amp; computer services</t>
  </si>
  <si>
    <t>sage.com</t>
  </si>
  <si>
    <t>https://www.sage.com/investors/-/media/files/investors/documents/pdf/annual-reports/sage-annual-report-2023.pdf</t>
  </si>
  <si>
    <t>https://www.sage.com/investors/-/media/files/investors/documents/pdf/sustainability/sage-sustainability-report-2023.pdf</t>
  </si>
  <si>
    <t>Sainsbury’s</t>
  </si>
  <si>
    <t>SBRY</t>
  </si>
  <si>
    <t>about.sainsburys.co.uk</t>
  </si>
  <si>
    <t>https://www.about.sainsburys.co.uk/~/media/Files/S/Sainsburys/annual-reports/sainsburys-annual-report-2023.pdf</t>
  </si>
  <si>
    <t>https://www.about.sainsburys.co.uk/~/media/Files/S/Sainsburys/CRS-Reports/sainsburys-sustainability-update-2023.pdf</t>
  </si>
  <si>
    <t>Schroders</t>
  </si>
  <si>
    <t>SDR</t>
  </si>
  <si>
    <t>schroders.com</t>
  </si>
  <si>
    <t>https://www.schroders.com/en/sysglobalassets/digital/annual-report-2024.pdf</t>
  </si>
  <si>
    <t>https://www.schroders.com/en/sysglobalassets/digital/sustainability-report-2024.pdf</t>
  </si>
  <si>
    <t>SMT</t>
  </si>
  <si>
    <t>scottishmortgageinvestmenttrust.com</t>
  </si>
  <si>
    <t>https://www.scottishmortgageinvestmenttrust.com/content/dam/scottishmortgage/annual-report-2023.pdf</t>
  </si>
  <si>
    <t>https://www.scottishmortgageinvestmenttrust.com/content/dam/scottishmortgage/esg-report-2023.pdf</t>
  </si>
  <si>
    <t>SGRO</t>
  </si>
  <si>
    <t>segro.com</t>
  </si>
  <si>
    <t>https://www.segro.com/media/abcd1234/SEGRO_Annual_Report_2024.pdf</t>
  </si>
  <si>
    <t>https://www.segro.com/media/abcd5678/SEGRO_Responsible_Report_2024.pdf</t>
  </si>
  <si>
    <t>SVT</t>
  </si>
  <si>
    <t>severntrent.com</t>
  </si>
  <si>
    <t>https://www.severntrent.com/content/dam/stw-plc/annual-report-2024.pdf</t>
  </si>
  <si>
    <t>https://www.severntrent.com/content/dam/stw-plc/sustainability-report-2024.pdf</t>
  </si>
  <si>
    <t>Shell plc</t>
  </si>
  <si>
    <t>SHEL</t>
  </si>
  <si>
    <t>shell.com</t>
  </si>
  <si>
    <t>https://reports.shell.com/annual-report-and-form-20f/2024/servicepages/downloads/files/download.php?file=Shell_AR24.pdf</t>
  </si>
  <si>
    <t>https://reports.shell.com/sustainability-report/2024/shell-sustainability-report-2024.pdf</t>
  </si>
  <si>
    <t>SN</t>
  </si>
  <si>
    <t>smith-nephew.com</t>
  </si>
  <si>
    <t>https://www.smith-nephew.com/content/dam/global/corporate/pdf/corporate-annual-report-2023.pdf</t>
  </si>
  <si>
    <t>https://www.smith-nephew.com/content/dam/global/corporate/pdf/sustainability-report-2023.pdf</t>
  </si>
  <si>
    <t>SMIN</t>
  </si>
  <si>
    <t>General industrials</t>
  </si>
  <si>
    <t>smiths.com</t>
  </si>
  <si>
    <t>https://www.smiths.com/-/media/files/annual-report-2023-smiths-group-plc.pdf</t>
  </si>
  <si>
    <t>https://www.smiths.com/-/media/files/sustainability-report-2023.pdf</t>
  </si>
  <si>
    <t>Spirax-Sarco (Spirax Group)</t>
  </si>
  <si>
    <t>SPX</t>
  </si>
  <si>
    <t>spiraxsarcoengineering.com</t>
  </si>
  <si>
    <t>https://www.spiraxsarcoengineering.com/media/abcd1234/Spirax-Sarco-Engineering-Annual-Report-2023.pdf</t>
  </si>
  <si>
    <t>https://www.spiraxsarcoengineering.com/media/abcd5678/Spirax-Sarco-Sustainability-Report-2023.pdf</t>
  </si>
  <si>
    <t>SSE plc</t>
  </si>
  <si>
    <t>Electrical utilities &amp; independent power producers</t>
  </si>
  <si>
    <t>sse.com</t>
  </si>
  <si>
    <t>https://www.sse.com/media/abcd1234/SSE-Annual-Report-2023.pdf</t>
  </si>
  <si>
    <t>https://www.sse.com/media/abcd5678/SSE-Sustainability-Report-2023.pdf</t>
  </si>
  <si>
    <t>St. James’s Place</t>
  </si>
  <si>
    <t>STJ</t>
  </si>
  <si>
    <t>sjp.co.uk</t>
  </si>
  <si>
    <t>https://www.sjp.co.uk/-/media/Files/S/SJP-Annual-Report-2024.pdf</t>
  </si>
  <si>
    <t>https://www.sjp.co.uk/-/media/Files/S/SJP-Sustainability-Report-2024.pdf</t>
  </si>
  <si>
    <t>STAN</t>
  </si>
  <si>
    <t>sc.com</t>
  </si>
  <si>
    <t>https://www.sc.com/annual-report-2024.pdf</t>
  </si>
  <si>
    <t>https://av.sc.com/corp-en/content/docs/Standard-Chartered-TCFD-and-Sustainability-Report-2024.pdf</t>
  </si>
  <si>
    <t>TW. [topforeignstocks.com]</t>
  </si>
  <si>
    <r>
      <t xml:space="preserve">Household goods &amp; home construction </t>
    </r>
    <r>
      <rPr>
        <sz val="11"/>
        <color rgb="FF464FEB"/>
        <rFont val="Segoe UI"/>
        <family val="2"/>
      </rPr>
      <t>[topforeignstocks.com]</t>
    </r>
    <r>
      <rPr>
        <sz val="11"/>
        <color theme="1"/>
        <rFont val="Segoe UI"/>
        <family val="2"/>
      </rPr>
      <t xml:space="preserve">, </t>
    </r>
    <r>
      <rPr>
        <sz val="11"/>
        <color rgb="FF464FEB"/>
        <rFont val="Segoe UI"/>
        <family val="2"/>
      </rPr>
      <t>[topforeignstocks.com]</t>
    </r>
  </si>
  <si>
    <t>taylorwimpey.co.uk [topforeignstocks.com]</t>
  </si>
  <si>
    <t>https://www.taylorwimpey.co.uk/~/media/Files/T/Taylor-Wimpey/documents/annual-reports/taylor-wimpey-annual-report-2024.pdf [topforeignstocks.com]</t>
  </si>
  <si>
    <t>https://www.taylorwimpey.co.uk/~/media/Files/T/Taylor-Wimpey/documents/sustainability-reports/taylor-wimpey-sustainability-report-2024.pdf [topforeignstocks.com]</t>
  </si>
  <si>
    <t>TSCO</t>
  </si>
  <si>
    <t>tescoplc.com</t>
  </si>
  <si>
    <t>https://www.tescoplc.com/media/abcd1234/Tesco_Annual_Report_2024.pdf [topforeignstocks.com]</t>
  </si>
  <si>
    <t>https://www.tescoplc.com/media/abcd5678/Tesco_Little_Helps_Plan_2024.pdf [topforeignstocks.com]</t>
  </si>
  <si>
    <t>ULVR</t>
  </si>
  <si>
    <t>unilever.com</t>
  </si>
  <si>
    <t>https://www.unilever.com/files/annual_report_2024.pdf</t>
  </si>
  <si>
    <t>https://www.unilever.com/files/unilever-sustainability-progress-2024.pdf</t>
  </si>
  <si>
    <t>Unite Group (United Group)</t>
  </si>
  <si>
    <t>UTG [topforeignstocks.com]</t>
  </si>
  <si>
    <t>Real Estate Investment Trusts [topforeignstocks.com]</t>
  </si>
  <si>
    <t>unite-group.co.uk [topforeignstocks.com]</t>
  </si>
  <si>
    <t>https://www.unite-group.co.uk/~/media/Files/U/Unite-Group/documents/annual-reports/unite-group-annual-report-2024.pdf [topforeignstocks.com]</t>
  </si>
  <si>
    <t>https://www.unite-group.co.uk/~/media/Files/U/Unite-Group/documents/sustainability-reports/unite-group-sustainability-report-2024.pdf [topforeignstocks.com]</t>
  </si>
  <si>
    <t>United Utilities Group</t>
  </si>
  <si>
    <t>UU</t>
  </si>
  <si>
    <t>unitedutilities.com</t>
  </si>
  <si>
    <t>https://www.unitedutilities.com/globalassets/z_corporate-site/financial-news--reports/annual-reports/annual-report-accounts-2023.pdf</t>
  </si>
  <si>
    <t>https://www.unitedutilities.com/globalassets/z_corporate-site/about-us-pdfs/sustainability-report-2023.pdf</t>
  </si>
  <si>
    <t>VOD</t>
  </si>
  <si>
    <t>Mobile telecommunications</t>
  </si>
  <si>
    <t>vodafone.com</t>
  </si>
  <si>
    <t>https://www.vodafone.com/sites/default/files/2024-05/Vodafone-Annual-Report-2024.pdf</t>
  </si>
  <si>
    <t>https://www.vodafone.com/sites/default/files/2024-05/Vodafone-ESG-Addendum-2024.pdf</t>
  </si>
  <si>
    <t>WEIR</t>
  </si>
  <si>
    <t>Industrial goods and services</t>
  </si>
  <si>
    <t>global.weir</t>
  </si>
  <si>
    <t>https://www.global.weir/~/media/Files/W/Weir/documents/annual-report-2024.pdf</t>
  </si>
  <si>
    <t>https://www.global.weir/~/media/Files/W/Weir/documents/sustainability-report-2024.pdf</t>
  </si>
  <si>
    <t>WTB</t>
  </si>
  <si>
    <t>Retail hospitality</t>
  </si>
  <si>
    <t>whitbread.co.uk</t>
  </si>
  <si>
    <t>https://cdn.whitbread.co.uk/media/abcd1234/Whitbread_Annual_Report_2024.pdf</t>
  </si>
  <si>
    <t>https://cdn.whitbread.co.uk/media/abcd5678/Whitbread_Sustainability_Report_2024.pdf</t>
  </si>
  <si>
    <t>wpp.com</t>
  </si>
  <si>
    <t>https://www.wpp.com/-/media/project/wpp/files/investors/2024/wpp-annual-report-2024.pdf</t>
  </si>
  <si>
    <t>https://www.wpp.com/-/media/project/wpp/files/investors/2024/wpp-sustainability-report-2024.pdf</t>
  </si>
  <si>
    <t>TW</t>
  </si>
  <si>
    <t>UTG</t>
  </si>
  <si>
    <t>Earlier = stronger commitment = higher inverted score.</t>
  </si>
  <si>
    <t>Example scoring:</t>
  </si>
  <si>
    <r>
      <t xml:space="preserve">≤ 2030 → </t>
    </r>
    <r>
      <rPr>
        <b/>
        <sz val="12"/>
        <color theme="1"/>
        <rFont val="Aptos Narrow"/>
        <family val="2"/>
      </rPr>
      <t>1.0</t>
    </r>
  </si>
  <si>
    <r>
      <t>2031–2040 →</t>
    </r>
    <r>
      <rPr>
        <b/>
        <sz val="12"/>
        <color theme="1"/>
        <rFont val="Aptos Narrow"/>
        <family val="2"/>
      </rPr>
      <t xml:space="preserve"> 0.75</t>
    </r>
  </si>
  <si>
    <r>
      <t xml:space="preserve">2041–2050 → </t>
    </r>
    <r>
      <rPr>
        <b/>
        <sz val="12"/>
        <color theme="1"/>
        <rFont val="Aptos Narrow"/>
        <family val="2"/>
      </rPr>
      <t>0.5</t>
    </r>
  </si>
  <si>
    <r>
      <t>&gt; 2050 / no year →</t>
    </r>
    <r>
      <rPr>
        <b/>
        <sz val="12"/>
        <color theme="1"/>
        <rFont val="Aptos Narrow"/>
        <family val="2"/>
      </rPr>
      <t xml:space="preserve"> 0.2</t>
    </r>
  </si>
  <si>
    <r>
      <t xml:space="preserve">No commitment → </t>
    </r>
    <r>
      <rPr>
        <b/>
        <sz val="12"/>
        <color theme="1"/>
        <rFont val="Aptos Narrow"/>
        <family val="2"/>
      </rPr>
      <t>0</t>
    </r>
  </si>
  <si>
    <t>2. Scope Coverage</t>
  </si>
  <si>
    <t>1. Net Zero Commitment Year</t>
  </si>
  <si>
    <r>
      <t>Scopes 1+2+3 →</t>
    </r>
    <r>
      <rPr>
        <b/>
        <sz val="12"/>
        <color theme="1"/>
        <rFont val="Aptos Narrow"/>
        <family val="2"/>
      </rPr>
      <t xml:space="preserve"> 1</t>
    </r>
  </si>
  <si>
    <r>
      <t>Scopes 1+2 only →</t>
    </r>
    <r>
      <rPr>
        <b/>
        <sz val="12"/>
        <color theme="1"/>
        <rFont val="Aptos Narrow"/>
        <family val="2"/>
      </rPr>
      <t xml:space="preserve"> 0.5</t>
    </r>
  </si>
  <si>
    <r>
      <t xml:space="preserve">Scope 1 only → </t>
    </r>
    <r>
      <rPr>
        <b/>
        <sz val="12"/>
        <color theme="1"/>
        <rFont val="Aptos Narrow"/>
        <family val="2"/>
      </rPr>
      <t>0.25</t>
    </r>
  </si>
  <si>
    <r>
      <t>None →</t>
    </r>
    <r>
      <rPr>
        <b/>
        <sz val="12"/>
        <color theme="1"/>
        <rFont val="Aptos Narrow"/>
        <family val="2"/>
      </rPr>
      <t xml:space="preserve"> 0</t>
    </r>
  </si>
  <si>
    <t>3. SBTi Validation</t>
  </si>
  <si>
    <r>
      <t>1.5°C →</t>
    </r>
    <r>
      <rPr>
        <b/>
        <sz val="12"/>
        <color theme="1"/>
        <rFont val="Aptos Narrow"/>
        <family val="2"/>
      </rPr>
      <t xml:space="preserve"> 1</t>
    </r>
  </si>
  <si>
    <r>
      <t xml:space="preserve">WB2°C → </t>
    </r>
    <r>
      <rPr>
        <b/>
        <sz val="12"/>
        <color theme="1"/>
        <rFont val="Aptos Narrow"/>
        <family val="2"/>
      </rPr>
      <t>0.75</t>
    </r>
  </si>
  <si>
    <r>
      <t xml:space="preserve">2°C → </t>
    </r>
    <r>
      <rPr>
        <b/>
        <sz val="12"/>
        <color theme="1"/>
        <rFont val="Aptos Narrow"/>
        <family val="2"/>
      </rPr>
      <t>0.5</t>
    </r>
  </si>
  <si>
    <r>
      <t xml:space="preserve">Commit only → </t>
    </r>
    <r>
      <rPr>
        <b/>
        <sz val="12"/>
        <color theme="1"/>
        <rFont val="Aptos Narrow"/>
        <family val="2"/>
      </rPr>
      <t>0.25</t>
    </r>
  </si>
  <si>
    <r>
      <t xml:space="preserve">No SBTi → </t>
    </r>
    <r>
      <rPr>
        <b/>
        <sz val="12"/>
        <color theme="1"/>
        <rFont val="Aptos Narrow"/>
        <family val="2"/>
      </rPr>
      <t>0</t>
    </r>
  </si>
  <si>
    <t>E1 - Climate Targets</t>
  </si>
  <si>
    <t>4. TPI Alignment</t>
  </si>
  <si>
    <t>TPI gives 0–4 or 0–5 level scores; normalize by dividing by max.</t>
  </si>
  <si>
    <t>E2 - Investment and Transition Actions</t>
  </si>
  <si>
    <t>1. Decarbonisation Capex (% of total capex)</t>
  </si>
  <si>
    <t>Score = min(1, Capex% ÷ 10%)</t>
  </si>
  <si>
    <t>So 10%+ = max score.</t>
  </si>
  <si>
    <t>2. Green Bonds</t>
  </si>
  <si>
    <t>None = 0</t>
  </si>
  <si>
    <r>
      <t xml:space="preserve">Issued &gt; £1bn = </t>
    </r>
    <r>
      <rPr>
        <b/>
        <sz val="12"/>
        <color theme="1"/>
        <rFont val="Aptos Narrow"/>
        <family val="2"/>
      </rPr>
      <t>1</t>
    </r>
  </si>
  <si>
    <r>
      <t>£100m–1bn =</t>
    </r>
    <r>
      <rPr>
        <b/>
        <sz val="12"/>
        <color theme="1"/>
        <rFont val="Aptos Narrow"/>
        <family val="2"/>
      </rPr>
      <t xml:space="preserve"> 0.5</t>
    </r>
  </si>
  <si>
    <r>
      <t xml:space="preserve">&lt;£100m = </t>
    </r>
    <r>
      <rPr>
        <b/>
        <sz val="12"/>
        <color theme="1"/>
        <rFont val="Aptos Narrow"/>
        <family val="2"/>
      </rPr>
      <t>0.25</t>
    </r>
  </si>
  <si>
    <r>
      <t>None =</t>
    </r>
    <r>
      <rPr>
        <b/>
        <sz val="12"/>
        <color theme="1"/>
        <rFont val="Aptos Narrow"/>
        <family val="2"/>
      </rPr>
      <t xml:space="preserve"> 0</t>
    </r>
  </si>
  <si>
    <t>3. RE100/EP100/EV100 Membership</t>
  </si>
  <si>
    <t>Binary:</t>
  </si>
  <si>
    <r>
      <t xml:space="preserve">Yes = </t>
    </r>
    <r>
      <rPr>
        <b/>
        <sz val="12"/>
        <color theme="1"/>
        <rFont val="Aptos Narrow"/>
        <family val="2"/>
      </rPr>
      <t>1</t>
    </r>
  </si>
  <si>
    <r>
      <t>No =</t>
    </r>
    <r>
      <rPr>
        <b/>
        <sz val="12"/>
        <color theme="1"/>
        <rFont val="Aptos Narrow"/>
        <family val="2"/>
      </rPr>
      <t xml:space="preserve"> 0</t>
    </r>
  </si>
  <si>
    <t>4. Internal Carbon Price</t>
  </si>
  <si>
    <r>
      <t xml:space="preserve">Strong (£100+/tCO₂e) = </t>
    </r>
    <r>
      <rPr>
        <b/>
        <sz val="12"/>
        <color theme="1"/>
        <rFont val="Aptos Narrow"/>
        <family val="2"/>
      </rPr>
      <t>1</t>
    </r>
  </si>
  <si>
    <r>
      <t xml:space="preserve">Medium (£50–100) = </t>
    </r>
    <r>
      <rPr>
        <b/>
        <sz val="12"/>
        <color theme="1"/>
        <rFont val="Aptos Narrow"/>
        <family val="2"/>
      </rPr>
      <t>0.75</t>
    </r>
  </si>
  <si>
    <r>
      <t xml:space="preserve">Basic (&lt;£50) = </t>
    </r>
    <r>
      <rPr>
        <b/>
        <sz val="12"/>
        <color theme="1"/>
        <rFont val="Aptos Narrow"/>
        <family val="2"/>
      </rPr>
      <t>0.5</t>
    </r>
  </si>
  <si>
    <r>
      <t xml:space="preserve">Planned = </t>
    </r>
    <r>
      <rPr>
        <b/>
        <sz val="12"/>
        <color theme="1"/>
        <rFont val="Aptos Narrow"/>
        <family val="2"/>
      </rPr>
      <t>0.25</t>
    </r>
  </si>
  <si>
    <r>
      <t xml:space="preserve">None = </t>
    </r>
    <r>
      <rPr>
        <b/>
        <sz val="12"/>
        <color theme="1"/>
        <rFont val="Aptos Narrow"/>
        <family val="2"/>
      </rPr>
      <t>0</t>
    </r>
  </si>
  <si>
    <t>1. TCFD Disclosure Completeness</t>
  </si>
  <si>
    <t>Checklist of 11 recommended disclosures.</t>
  </si>
  <si>
    <t>Score = (# disclosed ÷ 11)</t>
  </si>
  <si>
    <t>Map A/A- = 1 → B = 0.7 → C = 0.4 → D = 0.2 → F = 0</t>
  </si>
  <si>
    <t>3. Climate KPIs in Executive Pay</t>
  </si>
  <si>
    <t>4. Assurance Level</t>
  </si>
  <si>
    <r>
      <t xml:space="preserve">Reasonable = </t>
    </r>
    <r>
      <rPr>
        <b/>
        <sz val="12"/>
        <color theme="1"/>
        <rFont val="Aptos Narrow"/>
        <family val="2"/>
      </rPr>
      <t>1</t>
    </r>
  </si>
  <si>
    <r>
      <t xml:space="preserve">Limited = </t>
    </r>
    <r>
      <rPr>
        <b/>
        <sz val="12"/>
        <color theme="1"/>
        <rFont val="Aptos Narrow"/>
        <family val="2"/>
      </rPr>
      <t>0.5</t>
    </r>
  </si>
  <si>
    <r>
      <t xml:space="preserve">No = </t>
    </r>
    <r>
      <rPr>
        <b/>
        <sz val="12"/>
        <color theme="1"/>
        <rFont val="Aptos Narrow"/>
        <family val="2"/>
      </rPr>
      <t>0</t>
    </r>
  </si>
  <si>
    <t>1. Gender/Ethnicity Targets</t>
  </si>
  <si>
    <t>Use your existing classification:</t>
  </si>
  <si>
    <t>2. Representation thresholds</t>
  </si>
  <si>
    <t>Gender at board/exec/workforce:</t>
  </si>
  <si>
    <t>Ethnicity representation:</t>
  </si>
  <si>
    <t>3. Target Deadline Strength</t>
  </si>
  <si>
    <t>S1 - DEI Targets &amp; Representation</t>
  </si>
  <si>
    <r>
      <t xml:space="preserve">2025 or earlier → </t>
    </r>
    <r>
      <rPr>
        <b/>
        <sz val="12"/>
        <color theme="1"/>
        <rFont val="Aptos Narrow"/>
        <family val="2"/>
      </rPr>
      <t>1</t>
    </r>
  </si>
  <si>
    <r>
      <t xml:space="preserve">2030 → </t>
    </r>
    <r>
      <rPr>
        <b/>
        <sz val="12"/>
        <color theme="1"/>
        <rFont val="Aptos Narrow"/>
        <family val="2"/>
      </rPr>
      <t>0.5</t>
    </r>
  </si>
  <si>
    <r>
      <t xml:space="preserve">No deadline → </t>
    </r>
    <r>
      <rPr>
        <b/>
        <sz val="12"/>
        <color theme="1"/>
        <rFont val="Aptos Narrow"/>
        <family val="2"/>
      </rPr>
      <t>0</t>
    </r>
  </si>
  <si>
    <r>
      <t xml:space="preserve">≥10% = </t>
    </r>
    <r>
      <rPr>
        <b/>
        <sz val="12"/>
        <color theme="1"/>
        <rFont val="Aptos Narrow"/>
        <family val="2"/>
      </rPr>
      <t>0.75</t>
    </r>
  </si>
  <si>
    <r>
      <t xml:space="preserve">≥5% = </t>
    </r>
    <r>
      <rPr>
        <b/>
        <sz val="12"/>
        <color theme="1"/>
        <rFont val="Aptos Narrow"/>
        <family val="2"/>
      </rPr>
      <t>0.5</t>
    </r>
  </si>
  <si>
    <r>
      <t xml:space="preserve">&lt;5% = </t>
    </r>
    <r>
      <rPr>
        <b/>
        <sz val="12"/>
        <color theme="1"/>
        <rFont val="Aptos Narrow"/>
        <family val="2"/>
      </rPr>
      <t>0.25</t>
    </r>
  </si>
  <si>
    <r>
      <t xml:space="preserve">≥15% exec = </t>
    </r>
    <r>
      <rPr>
        <b/>
        <sz val="12"/>
        <color theme="1"/>
        <rFont val="Aptos Narrow"/>
        <family val="2"/>
      </rPr>
      <t>1</t>
    </r>
  </si>
  <si>
    <r>
      <t xml:space="preserve">≥40% → </t>
    </r>
    <r>
      <rPr>
        <b/>
        <sz val="12"/>
        <color theme="1"/>
        <rFont val="Aptos Narrow"/>
        <family val="2"/>
      </rPr>
      <t>0.75</t>
    </r>
  </si>
  <si>
    <r>
      <t xml:space="preserve">≥30% → </t>
    </r>
    <r>
      <rPr>
        <b/>
        <sz val="12"/>
        <color theme="1"/>
        <rFont val="Aptos Narrow"/>
        <family val="2"/>
      </rPr>
      <t>0.5</t>
    </r>
  </si>
  <si>
    <r>
      <t xml:space="preserve">&lt;30% → </t>
    </r>
    <r>
      <rPr>
        <b/>
        <sz val="12"/>
        <color theme="1"/>
        <rFont val="Aptos Narrow"/>
        <family val="2"/>
      </rPr>
      <t>0.25</t>
    </r>
  </si>
  <si>
    <r>
      <t xml:space="preserve">≥50% women → </t>
    </r>
    <r>
      <rPr>
        <b/>
        <sz val="12"/>
        <color theme="1"/>
        <rFont val="Aptos Narrow"/>
        <family val="2"/>
      </rPr>
      <t>1</t>
    </r>
  </si>
  <si>
    <r>
      <t xml:space="preserve">No target → </t>
    </r>
    <r>
      <rPr>
        <b/>
        <sz val="12"/>
        <color theme="1"/>
        <rFont val="Aptos Narrow"/>
        <family val="2"/>
      </rPr>
      <t>0</t>
    </r>
  </si>
  <si>
    <r>
      <t xml:space="preserve">Metric only (“monitoring”) → </t>
    </r>
    <r>
      <rPr>
        <b/>
        <sz val="12"/>
        <color theme="1"/>
        <rFont val="Aptos Narrow"/>
        <family val="2"/>
      </rPr>
      <t>0.3</t>
    </r>
  </si>
  <si>
    <r>
      <t xml:space="preserve">Aspirational target → </t>
    </r>
    <r>
      <rPr>
        <b/>
        <sz val="12"/>
        <color theme="1"/>
        <rFont val="Aptos Narrow"/>
        <family val="2"/>
      </rPr>
      <t>0.6</t>
    </r>
  </si>
  <si>
    <r>
      <t xml:space="preserve">Formal numeric target → </t>
    </r>
    <r>
      <rPr>
        <b/>
        <sz val="12"/>
        <color theme="1"/>
        <rFont val="Aptos Narrow"/>
        <family val="2"/>
      </rPr>
      <t>1</t>
    </r>
  </si>
  <si>
    <t>1. DEI Memberships</t>
  </si>
  <si>
    <t>Binary (0 or 1) for each:</t>
  </si>
  <si>
    <t>Stonewall</t>
  </si>
  <si>
    <t>10,000 Black Interns</t>
  </si>
  <si>
    <t>Race at Work Charter</t>
  </si>
  <si>
    <t>Any other DEI coalition</t>
  </si>
  <si>
    <t>Normalize by dividing by total possible memberships.</t>
  </si>
  <si>
    <t>2. Pay Gap Disclosures</t>
  </si>
  <si>
    <t>Gender + Ethnicity = 1</t>
  </si>
  <si>
    <t>Gender only = 0.5</t>
  </si>
  <si>
    <t>3. Internal DEI Programmes</t>
  </si>
  <si>
    <t>Exec‑level DEI officer = 1</t>
  </si>
  <si>
    <t>ERGs, formal training programs = +0.25 each (cap at 1)</t>
  </si>
  <si>
    <t>S2 - Programmes &amp; Memberships</t>
  </si>
  <si>
    <t>1. DEI KPIs in Exec Pay</t>
  </si>
  <si>
    <t>2. Board Oversight</t>
  </si>
  <si>
    <t>3. Disclosure Quality</t>
  </si>
  <si>
    <t>Checklist; score = (# items disclosed ÷ possible items)</t>
  </si>
  <si>
    <t>S3 - Social Governance &amp; Incentives</t>
  </si>
  <si>
    <r>
      <t xml:space="preserve">Some oversight = </t>
    </r>
    <r>
      <rPr>
        <b/>
        <sz val="12"/>
        <color theme="1"/>
        <rFont val="Aptos Narrow"/>
        <family val="2"/>
      </rPr>
      <t>0.5</t>
    </r>
  </si>
  <si>
    <r>
      <t xml:space="preserve">Dedicated DEI/People Committee = </t>
    </r>
    <r>
      <rPr>
        <b/>
        <sz val="12"/>
        <color theme="1"/>
        <rFont val="Aptos Narrow"/>
        <family val="2"/>
      </rPr>
      <t>1</t>
    </r>
  </si>
  <si>
    <t>E1</t>
  </si>
  <si>
    <t>E2</t>
  </si>
  <si>
    <t>E3</t>
  </si>
  <si>
    <t>S1</t>
  </si>
  <si>
    <t>S2</t>
  </si>
  <si>
    <t>S3</t>
  </si>
  <si>
    <t>G1</t>
  </si>
  <si>
    <t>G2</t>
  </si>
  <si>
    <t>No</t>
  </si>
  <si>
    <t>Net Zero Commitment</t>
  </si>
  <si>
    <t>Scope Coverage</t>
  </si>
  <si>
    <t>SBTi Validation</t>
  </si>
  <si>
    <t>TPI Alignment</t>
  </si>
  <si>
    <t>Decarb CapEx</t>
  </si>
  <si>
    <t>Memberships</t>
  </si>
  <si>
    <t>Internal Carbon Price</t>
  </si>
  <si>
    <t>None</t>
  </si>
  <si>
    <t>CDP Score</t>
  </si>
  <si>
    <t>Climate KPI's</t>
  </si>
  <si>
    <t>Assurance Level</t>
  </si>
  <si>
    <t>A-</t>
  </si>
  <si>
    <t xml:space="preserve">2. CDP Score - https://knowesg.com/ </t>
  </si>
  <si>
    <t>Limited</t>
  </si>
  <si>
    <t>Leadership Gender %</t>
  </si>
  <si>
    <t>Ethnicity Target</t>
  </si>
  <si>
    <t>Workforce Representation</t>
  </si>
  <si>
    <t>Yes</t>
  </si>
  <si>
    <t>Board DEI Oversight</t>
  </si>
  <si>
    <t>Climate Targets</t>
  </si>
  <si>
    <t>Climate Reporting</t>
  </si>
  <si>
    <t>E3 - Climate Reporting</t>
  </si>
  <si>
    <t>Social Incentives</t>
  </si>
  <si>
    <t>Domains:</t>
  </si>
  <si>
    <t>S1 Score</t>
  </si>
  <si>
    <t>S2 Score</t>
  </si>
  <si>
    <t>S3 Score</t>
  </si>
  <si>
    <t>Social Score</t>
  </si>
  <si>
    <t>E3 Score</t>
  </si>
  <si>
    <t>E2 Score</t>
  </si>
  <si>
    <t>E1 Score</t>
  </si>
  <si>
    <t>Governance Score</t>
  </si>
  <si>
    <t>G1 Score</t>
  </si>
  <si>
    <t>G2 Score</t>
  </si>
  <si>
    <t xml:space="preserve">Social Scores (Weight: 40%) </t>
  </si>
  <si>
    <t>Social Raw Data (Weight: 40%)</t>
  </si>
  <si>
    <t>1+2+3</t>
  </si>
  <si>
    <t>N/A</t>
  </si>
  <si>
    <t>EasyJet</t>
  </si>
  <si>
    <t>EZJ</t>
  </si>
  <si>
    <t>Comercial Airlines</t>
  </si>
  <si>
    <t>https://www.easyjet.com/en/</t>
  </si>
  <si>
    <t>Social Scores (Weight: 40%)</t>
  </si>
  <si>
    <t>Unclear</t>
  </si>
  <si>
    <t>1+2</t>
  </si>
  <si>
    <t>2. CDP Score - https://knowesg.com/</t>
  </si>
  <si>
    <t>A</t>
  </si>
  <si>
    <t>B</t>
  </si>
  <si>
    <t>C</t>
  </si>
  <si>
    <r>
      <t xml:space="preserve">Yes = </t>
    </r>
    <r>
      <rPr>
        <b/>
        <sz val="12"/>
        <color theme="1"/>
        <rFont val="Aptos Narrow"/>
        <family val="2"/>
      </rPr>
      <t>1</t>
    </r>
    <r>
      <rPr>
        <sz val="12"/>
        <color theme="1"/>
        <rFont val="Aptos Narrow"/>
        <family val="2"/>
      </rPr>
      <t xml:space="preserve">, If Gold = </t>
    </r>
    <r>
      <rPr>
        <b/>
        <sz val="12"/>
        <color theme="1"/>
        <rFont val="Aptos Narrow"/>
        <family val="2"/>
      </rPr>
      <t>1.2</t>
    </r>
  </si>
  <si>
    <t>Gold</t>
  </si>
  <si>
    <t>Land Securities (Landsec)</t>
  </si>
  <si>
    <t>Sources:</t>
  </si>
  <si>
    <t xml:space="preserve">https://sciencebasedtargets.org/target-dashboard </t>
  </si>
  <si>
    <t xml:space="preserve">https://knowesg.com/ </t>
  </si>
  <si>
    <t xml:space="preserve">http://transitionpathwayinitiative.org/corporates </t>
  </si>
  <si>
    <t xml:space="preserve">https://www.there100.org/re100-members?items_per_page=All </t>
  </si>
  <si>
    <t xml:space="preserve"> </t>
  </si>
  <si>
    <t xml:space="preserve">  </t>
  </si>
  <si>
    <t xml:space="preserve">   </t>
  </si>
  <si>
    <t xml:space="preserve">       </t>
  </si>
  <si>
    <t>4. Internal Carbon Price Reported</t>
  </si>
  <si>
    <t>Environment Score</t>
  </si>
  <si>
    <t>Decarb/CapEx</t>
  </si>
  <si>
    <t>admiralgroup.co.uk</t>
  </si>
  <si>
    <t>1. Decarbonisation Capex</t>
  </si>
  <si>
    <r>
      <t xml:space="preserve">b) Has decarb. Investments/spend = </t>
    </r>
    <r>
      <rPr>
        <b/>
        <sz val="12"/>
        <color theme="1"/>
        <rFont val="Aptos Narrow"/>
        <family val="2"/>
      </rPr>
      <t>0.75</t>
    </r>
  </si>
  <si>
    <r>
      <t xml:space="preserve">a) Plans to phase out carbon intensive Capex = </t>
    </r>
    <r>
      <rPr>
        <b/>
        <sz val="12"/>
        <color theme="1"/>
        <rFont val="Aptos Narrow"/>
        <family val="2"/>
      </rPr>
      <t>0.5</t>
    </r>
  </si>
  <si>
    <r>
      <t xml:space="preserve">c) Has both a &amp; b = </t>
    </r>
    <r>
      <rPr>
        <b/>
        <sz val="12"/>
        <color theme="1"/>
        <rFont val="Aptos Narrow"/>
        <family val="2"/>
      </rPr>
      <t>1</t>
    </r>
  </si>
  <si>
    <r>
      <t xml:space="preserve">No action (None) = </t>
    </r>
    <r>
      <rPr>
        <b/>
        <sz val="12"/>
        <color theme="1"/>
        <rFont val="Aptos Narrow"/>
        <family val="2"/>
      </rPr>
      <t>0</t>
    </r>
  </si>
  <si>
    <t>https://www.transitionpathwayinitiative.org/corporates</t>
  </si>
  <si>
    <t xml:space="preserve">https://www.transitionpathwayinitiative.org/corporates </t>
  </si>
  <si>
    <t>Reasonable</t>
  </si>
  <si>
    <t>Green Bonds ($bn)</t>
  </si>
  <si>
    <t xml:space="preserve">https://www.icmagroup.org/sustainable-finance/sustainable-bonds-database/    https://www.climatebonds.net/data-insights/market-data/certified-climate-bonds-database </t>
  </si>
  <si>
    <t xml:space="preserve">Sust. Report Page # </t>
  </si>
  <si>
    <t>1. Sustainability Report Page Number</t>
  </si>
  <si>
    <t>Total Page Numbers</t>
  </si>
  <si>
    <t>HRGV</t>
  </si>
  <si>
    <t>BAESY</t>
  </si>
  <si>
    <t>Investment &amp; Transition</t>
  </si>
  <si>
    <t>*Latest Available Report</t>
  </si>
  <si>
    <t xml:space="preserve">https://transitionpathwayinitiative.org/corporates </t>
  </si>
  <si>
    <t>Total Scores</t>
  </si>
  <si>
    <t xml:space="preserve">https://ftsewomenleaders.com/company-rankings/ </t>
  </si>
  <si>
    <t>Sources</t>
  </si>
  <si>
    <t xml:space="preserve">https://parkerreview.co.uk/wp-content/uploads/2026/03/The-Parker-Review-March-2026.pdf </t>
  </si>
  <si>
    <t xml:space="preserve">https://wdi.trust.org/wdi-awards-2024/ </t>
  </si>
  <si>
    <t>Bloomberg</t>
  </si>
  <si>
    <t>Wdi Rep</t>
  </si>
  <si>
    <t>WDI Rep</t>
  </si>
  <si>
    <t>Diversity Linked to Exec Pay</t>
  </si>
  <si>
    <t>Senior Management Target</t>
  </si>
  <si>
    <t>Formal</t>
  </si>
  <si>
    <t>Aspirational</t>
  </si>
  <si>
    <t>Metric Only</t>
  </si>
  <si>
    <t>Gender Target</t>
  </si>
  <si>
    <t>Board Gender</t>
  </si>
  <si>
    <t>Linked</t>
  </si>
  <si>
    <t>Not Linked</t>
  </si>
  <si>
    <t>Partially Linked</t>
  </si>
  <si>
    <t>2. Internal DEI Programmes</t>
  </si>
  <si>
    <t>1. Diversity Linked to Exec Pay</t>
  </si>
  <si>
    <t>Linked = 1</t>
  </si>
  <si>
    <t>Partially Linked = 0.5</t>
  </si>
  <si>
    <t>Not Linke =  0</t>
  </si>
  <si>
    <t>3. Committed to Senior Management Target?</t>
  </si>
  <si>
    <t>Yes/No</t>
  </si>
  <si>
    <t>Stonewall/10000</t>
  </si>
  <si>
    <t>Governance Raw Data - Embedded in E and S and coppied here</t>
  </si>
  <si>
    <t>Governance Scores</t>
  </si>
  <si>
    <t>Governance Treatment</t>
  </si>
  <si>
    <t>Governance-related indicators are treated as embedded within the live Environment and Social frameworks rather than presented as a</t>
  </si>
  <si>
    <t xml:space="preserve">standalone score. In the underlying methodology, governance appears through strategy, oversight, incentives, transparency, and </t>
  </si>
  <si>
    <t>diversity-linked incentives, formal committees, external frameworks, and third-party assurance.</t>
  </si>
  <si>
    <t xml:space="preserve">assurance-related signals. These include ESG integration into corporate strategy and risk management, board-level oversight structures, </t>
  </si>
  <si>
    <t>captured inside the Environment and Social domains. This keeps governance visible in the logic of the index without displaying it as a separate</t>
  </si>
  <si>
    <t>scored pillar.</t>
  </si>
  <si>
    <t>For the website, those governance signals are reflected primarily through the reporting, oversight, and incentive-related measures already</t>
  </si>
  <si>
    <t>Full ESG Index</t>
  </si>
  <si>
    <t>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</si>
</sst>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464FEB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theme="1"/>
      <name val="Aptos Narrow"/>
      <family val="2"/>
    </font>
    <font>
      <b/>
      <sz val="14"/>
      <color theme="0"/>
      <name val="Aptos Narrow"/>
      <family val="2"/>
    </font>
    <font>
      <i/>
      <sz val="12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5" tint="-0.249977111117893"/>
      <name val="Aptos Narrow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name val="Aptos Narrow"/>
      <family val="2"/>
    </font>
    <font>
      <sz val="11"/>
      <color theme="1"/>
      <name val="Calibri"/>
      <family val="2"/>
      <scheme val="minor"/>
    </font>
    <font>
      <u/>
      <sz val="12"/>
      <color theme="1"/>
      <name val="Aptos Narrow"/>
      <family val="2"/>
    </font>
    <font>
      <u/>
      <sz val="11"/>
      <color theme="1"/>
      <name val="Calibri"/>
      <family val="2"/>
      <scheme val="minor"/>
    </font>
    <font>
      <b/>
      <sz val="16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theme="1"/>
      </right>
      <top style="thick">
        <color auto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9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5" fillId="0" borderId="1" xfId="0" applyFont="1" applyBorder="1" applyAlignment="1">
      <alignment vertical="center"/>
    </xf>
    <xf numFmtId="0" fontId="7" fillId="0" borderId="1" xfId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0" xfId="0" applyFont="1"/>
    <xf numFmtId="0" fontId="1" fillId="4" borderId="0" xfId="0" applyFont="1" applyFill="1"/>
    <xf numFmtId="0" fontId="1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8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8" fillId="8" borderId="0" xfId="0" applyFont="1" applyFill="1"/>
    <xf numFmtId="0" fontId="8" fillId="7" borderId="0" xfId="0" applyFont="1" applyFill="1"/>
    <xf numFmtId="0" fontId="16" fillId="0" borderId="1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8" fillId="10" borderId="3" xfId="0" applyFont="1" applyFill="1" applyBorder="1"/>
    <xf numFmtId="0" fontId="8" fillId="10" borderId="4" xfId="0" applyFont="1" applyFill="1" applyBorder="1"/>
    <xf numFmtId="0" fontId="8" fillId="6" borderId="0" xfId="0" applyFont="1" applyFill="1" applyAlignment="1">
      <alignment horizontal="left"/>
    </xf>
    <xf numFmtId="0" fontId="3" fillId="13" borderId="0" xfId="0" applyFont="1" applyFill="1"/>
    <xf numFmtId="0" fontId="1" fillId="13" borderId="0" xfId="0" applyFont="1" applyFill="1"/>
    <xf numFmtId="165" fontId="1" fillId="0" borderId="0" xfId="2" applyNumberFormat="1" applyFont="1" applyAlignment="1">
      <alignment horizontal="right"/>
    </xf>
    <xf numFmtId="0" fontId="1" fillId="10" borderId="0" xfId="0" applyFont="1" applyFill="1" applyAlignment="1">
      <alignment horizontal="right"/>
    </xf>
    <xf numFmtId="0" fontId="15" fillId="0" borderId="0" xfId="0" applyFont="1" applyAlignment="1">
      <alignment horizontal="right"/>
    </xf>
    <xf numFmtId="0" fontId="7" fillId="13" borderId="0" xfId="1" applyFill="1"/>
    <xf numFmtId="2" fontId="1" fillId="0" borderId="0" xfId="0" applyNumberFormat="1" applyFont="1"/>
    <xf numFmtId="2" fontId="1" fillId="0" borderId="0" xfId="2" applyNumberFormat="1" applyFont="1"/>
    <xf numFmtId="9" fontId="18" fillId="0" borderId="8" xfId="2" applyFont="1" applyBorder="1"/>
    <xf numFmtId="9" fontId="18" fillId="0" borderId="7" xfId="2" applyFont="1" applyBorder="1"/>
    <xf numFmtId="0" fontId="9" fillId="11" borderId="12" xfId="0" applyFont="1" applyFill="1" applyBorder="1"/>
    <xf numFmtId="0" fontId="9" fillId="11" borderId="13" xfId="0" applyFont="1" applyFill="1" applyBorder="1"/>
    <xf numFmtId="0" fontId="10" fillId="6" borderId="14" xfId="0" applyFont="1" applyFill="1" applyBorder="1"/>
    <xf numFmtId="0" fontId="9" fillId="10" borderId="12" xfId="0" applyFont="1" applyFill="1" applyBorder="1"/>
    <xf numFmtId="0" fontId="9" fillId="10" borderId="13" xfId="0" applyFont="1" applyFill="1" applyBorder="1"/>
    <xf numFmtId="0" fontId="10" fillId="2" borderId="14" xfId="0" applyFont="1" applyFill="1" applyBorder="1"/>
    <xf numFmtId="0" fontId="9" fillId="0" borderId="8" xfId="0" applyFont="1" applyBorder="1"/>
    <xf numFmtId="9" fontId="18" fillId="0" borderId="0" xfId="2" applyFont="1" applyBorder="1"/>
    <xf numFmtId="0" fontId="8" fillId="6" borderId="0" xfId="0" applyFont="1" applyFill="1"/>
    <xf numFmtId="0" fontId="0" fillId="6" borderId="0" xfId="0" applyFill="1"/>
    <xf numFmtId="0" fontId="8" fillId="11" borderId="0" xfId="0" applyFont="1" applyFill="1"/>
    <xf numFmtId="0" fontId="1" fillId="11" borderId="0" xfId="0" applyFont="1" applyFill="1" applyAlignment="1">
      <alignment horizontal="right"/>
    </xf>
    <xf numFmtId="0" fontId="1" fillId="11" borderId="0" xfId="0" applyFont="1" applyFill="1"/>
    <xf numFmtId="0" fontId="0" fillId="0" borderId="0" xfId="0" applyAlignment="1">
      <alignment horizontal="right"/>
    </xf>
    <xf numFmtId="0" fontId="3" fillId="12" borderId="0" xfId="0" applyFont="1" applyFill="1"/>
    <xf numFmtId="0" fontId="7" fillId="12" borderId="0" xfId="1" applyFill="1" applyBorder="1"/>
    <xf numFmtId="0" fontId="7" fillId="12" borderId="0" xfId="1" applyFill="1" applyBorder="1" applyAlignment="1">
      <alignment horizontal="right"/>
    </xf>
    <xf numFmtId="0" fontId="1" fillId="12" borderId="0" xfId="0" applyFont="1" applyFill="1"/>
    <xf numFmtId="0" fontId="3" fillId="10" borderId="0" xfId="0" applyFont="1" applyFill="1" applyAlignment="1">
      <alignment horizontal="right"/>
    </xf>
    <xf numFmtId="165" fontId="20" fillId="13" borderId="0" xfId="1" applyNumberFormat="1" applyFont="1" applyFill="1"/>
    <xf numFmtId="0" fontId="21" fillId="13" borderId="0" xfId="1" applyFont="1" applyFill="1"/>
    <xf numFmtId="9" fontId="3" fillId="0" borderId="0" xfId="2" applyFont="1" applyBorder="1"/>
    <xf numFmtId="0" fontId="10" fillId="8" borderId="0" xfId="0" applyFont="1" applyFill="1"/>
    <xf numFmtId="0" fontId="8" fillId="9" borderId="0" xfId="0" applyFont="1" applyFill="1" applyAlignment="1">
      <alignment horizontal="left"/>
    </xf>
    <xf numFmtId="0" fontId="0" fillId="9" borderId="0" xfId="0" applyFill="1"/>
    <xf numFmtId="0" fontId="22" fillId="14" borderId="15" xfId="0" applyFont="1" applyFill="1" applyBorder="1"/>
    <xf numFmtId="0" fontId="22" fillId="14" borderId="0" xfId="0" applyFont="1" applyFill="1" applyAlignment="1">
      <alignment horizontal="center"/>
    </xf>
    <xf numFmtId="0" fontId="22" fillId="14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6" borderId="9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10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</cellXfs>
  <cellStyles count="3">
    <cellStyle name="Hyperlink" xfId="1" builtinId="8"/>
    <cellStyle name="Normal" xfId="0" builtinId="0"/>
    <cellStyle name="Percent" xfId="2" builtinId="5"/>
  </cellStyles>
  <dxfs count="12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5" tint="0.59999389629810485"/>
        </patternFill>
      </fill>
    </dxf>
    <dxf>
      <fill>
        <patternFill patternType="none">
          <fgColor indexed="64"/>
          <bgColor theme="5" tint="0.59999389629810485"/>
        </patternFill>
      </fill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theme="5" tint="0.59999389629810485"/>
        </patternFill>
      </fill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z val="12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2"/>
        <color auto="1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numFmt numFmtId="0" formatCode="General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2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8" tint="0.59999389629810485"/>
        </patternFill>
      </fill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  <numFmt numFmtId="165" formatCode="0.0%"/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sz val="12"/>
        <color auto="1"/>
        <name val="Aptos Narrow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</dxf>
    <dxf>
      <font>
        <b/>
        <sz val="12"/>
        <color auto="1"/>
        <name val="Aptos Narrow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z val="12"/>
        <color auto="1"/>
        <name val="Aptos Narrow"/>
        <family val="2"/>
        <scheme val="none"/>
      </font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z val="12"/>
        <color auto="1"/>
        <name val="Aptos Narrow"/>
        <family val="2"/>
        <scheme val="none"/>
      </font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>
          <fgColor indexed="64"/>
          <bgColor theme="6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3" formatCode="0%"/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3" formatCode="0%"/>
      <border diagonalUp="0" diagonalDown="0" outline="0">
        <left/>
        <right style="thick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ck">
          <color theme="1"/>
        </left>
        <right style="thick">
          <color theme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none"/>
      </font>
    </dxf>
  </dxfs>
  <tableStyles count="0" defaultTableStyle="TableStyleMedium9" defaultPivotStyle="PivotStyleLight16"/>
  <colors>
    <mruColors>
      <color rgb="FFFF8181"/>
      <color rgb="FFFFFF81"/>
      <color rgb="FF97FF97"/>
      <color rgb="FFFFFF79"/>
      <color rgb="FFFF8989"/>
      <color rgb="FF9FFF9F"/>
      <color rgb="FFFA6E6E"/>
      <color rgb="FF71FF71"/>
      <color rgb="FF2DFF2D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E0F45-AE40-4DC4-8503-570DDF4DAFEB}" name="FullIndex" displayName="FullIndex" ref="B3:M103" headerRowDxfId="125" dataDxfId="124" headerRowCellStyle="Normal" dataCellStyle="Normal">
  <autoFilter ref="B3:M103" xr:uid="{196E0F45-AE40-4DC4-8503-570DDF4DAF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2ADB3A8-F5CA-455C-A208-6988A5C75E49}" name="Company" totalsRowLabel="Total" dataDxfId="123" totalsRowDxfId="122" dataCellStyle="Normal"/>
    <tableColumn id="12" xr3:uid="{3088E096-D81A-4D9C-BA83-754EBB22E84E}" name="Ticker" dataDxfId="121" totalsRowDxfId="120" dataCellStyle="Normal"/>
    <tableColumn id="11" xr3:uid="{6C1DD235-6292-4B01-B3DB-2DD8A15F7E52}" name="Sector" dataDxfId="119" totalsRowDxfId="118" dataCellStyle="Normal"/>
    <tableColumn id="2" xr3:uid="{1FEA4022-BDFD-4A71-815B-0A020FEE8E30}" name="Climate Targets" dataDxfId="117" dataCellStyle="Normal">
      <calculatedColumnFormula>'Environment '!G109</calculatedColumnFormula>
    </tableColumn>
    <tableColumn id="3" xr3:uid="{2DF08607-5825-4C61-86C6-58450F29B3B0}" name="Investment &amp; Transition" dataDxfId="116" dataCellStyle="Normal">
      <calculatedColumnFormula>'Environment '!L109</calculatedColumnFormula>
    </tableColumn>
    <tableColumn id="4" xr3:uid="{D3EF8086-8E52-4076-9D81-5F40C908DA94}" name="Climate Reporting" dataDxfId="115" dataCellStyle="Normal">
      <calculatedColumnFormula>'Environment '!Q109</calculatedColumnFormula>
    </tableColumn>
    <tableColumn id="14" xr3:uid="{4D27BBBC-E875-4276-AF4B-A6E1DD85F1A1}" name="Environment Score" dataDxfId="114" dataCellStyle="Percent">
      <calculatedColumnFormula>'Environment '!R109</calculatedColumnFormula>
    </tableColumn>
    <tableColumn id="5" xr3:uid="{87B6CFC6-4A8E-49E6-9858-B465A5BD68AE}" name="DEI Targets &amp; Representation" dataDxfId="113" totalsRowDxfId="112" dataCellStyle="Percent">
      <calculatedColumnFormula>Social!G110</calculatedColumnFormula>
    </tableColumn>
    <tableColumn id="6" xr3:uid="{A8B1B50F-B811-4749-B6B8-D49245EE99EF}" name="DEI Programmes &amp; Memberships" dataDxfId="111" dataCellStyle="Normal">
      <calculatedColumnFormula>Social!K110</calculatedColumnFormula>
    </tableColumn>
    <tableColumn id="7" xr3:uid="{4C876BAA-A976-4C4E-B289-A084D7E1903A}" name="Social Incentives" dataDxfId="110" totalsRowDxfId="109" dataCellStyle="Normal">
      <calculatedColumnFormula>Social!O110</calculatedColumnFormula>
    </tableColumn>
    <tableColumn id="15" xr3:uid="{AB349555-4936-49F3-9D6D-4AF50B21DC7A}" name="Social Score" dataDxfId="108" dataCellStyle="Percent">
      <calculatedColumnFormula>Social!P110</calculatedColumnFormula>
    </tableColumn>
    <tableColumn id="13" xr3:uid="{2DAB7248-EF77-44D0-8F1C-0358DBD55F23}" name="Total Scores" dataDxfId="107" dataCellStyle="Percent">
      <calculatedColumnFormula>(FullIndex[[#This Row],[Environment Score]]+FullIndex[[#This Row],[Social Score]])/2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255004-9D8A-4B27-B47F-387C5427ECB1}" name="Table5" displayName="Table5" ref="B4:R105" totalsRowShown="0" headerRowDxfId="106" dataDxfId="105">
  <autoFilter ref="B4:R105" xr:uid="{44255004-9D8A-4B27-B47F-387C5427EC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2918F47-E557-4CD9-90CB-E16B1F44309D}" name="Company" dataDxfId="104"/>
    <tableColumn id="2" xr3:uid="{BF19535C-49C8-4551-B6D8-27378A9600B8}" name="Net Zero Commitment" dataDxfId="103"/>
    <tableColumn id="3" xr3:uid="{223F0B6C-1A1B-4B27-BA79-497C9AE75114}" name="Scope Coverage" dataDxfId="102"/>
    <tableColumn id="4" xr3:uid="{5F16C035-2965-49E2-85E2-993778629DE6}" name="SBTi Validation" dataDxfId="101"/>
    <tableColumn id="5" xr3:uid="{4C416D60-C7F3-4523-B630-6A0BEEF3D3AF}" name="TPI Alignment" dataDxfId="100"/>
    <tableColumn id="14" xr3:uid="{324986BA-B053-49C0-A8DB-A02D709B65B5}" name=" " dataDxfId="99"/>
    <tableColumn id="6" xr3:uid="{6FB7A22E-7782-4624-B03B-8745FD0ECDD2}" name="Decarb/CapEx" dataDxfId="98"/>
    <tableColumn id="7" xr3:uid="{6AB089AC-48DD-40B1-B54A-2E69D27F5788}" name="Green Bonds ($bn)" dataDxfId="97"/>
    <tableColumn id="8" xr3:uid="{9E567E17-65E2-40D5-95C9-1608A91EFCEC}" name="Memberships" dataDxfId="96"/>
    <tableColumn id="9" xr3:uid="{7FD6B347-99CB-46AC-A73B-2AB5A1DCC3B5}" name="Internal Carbon Price" dataDxfId="95"/>
    <tableColumn id="15" xr3:uid="{D0C550AE-0F2A-4CFA-BB9D-3C903F77276C}" name="  " dataDxfId="94"/>
    <tableColumn id="10" xr3:uid="{3358257C-669D-4C14-8C77-1FCDFE84CCD6}" name="Sust. Report Page # " dataDxfId="93"/>
    <tableColumn id="11" xr3:uid="{2AFFE773-371F-4CFA-9D1A-A24D258BAD02}" name="CDP Score" dataDxfId="92"/>
    <tableColumn id="12" xr3:uid="{94D36CE2-07D2-414D-B377-1471C355A4D0}" name="Climate KPI's" dataDxfId="91"/>
    <tableColumn id="13" xr3:uid="{CE185004-FDE1-4F10-A520-B3C3B47D5DF8}" name="Assurance Level" dataDxfId="90"/>
    <tableColumn id="16" xr3:uid="{7ABB9BF4-A996-4DDD-8B7F-024ACB6002D5}" name="   " dataDxfId="89"/>
    <tableColumn id="17" xr3:uid="{5334816B-C7DB-48F1-A84D-BF051BC9C451}" name="       " dataDxfId="8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EDFE34-85A1-48FB-9CDD-D66D46E5F54B}" name="Table57" displayName="Table57" ref="B108:R208" totalsRowShown="0" headerRowDxfId="87">
  <autoFilter ref="B108:R208" xr:uid="{CFEDFE34-85A1-48FB-9CDD-D66D46E5F5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6EAA1E4-9D72-46A2-A967-5A5931AF0B5B}" name="Company" dataDxfId="86"/>
    <tableColumn id="2" xr3:uid="{3C5738B0-7340-4B11-A098-27D0FB668BE5}" name="Net Zero Commitment" dataDxfId="85">
      <calculatedColumnFormula>IF(C5="",0,IF(C5&lt;=2030,1,IF(C5&lt;=2040,0.75,IF(C5&lt;="2050",0.5,0.2))))</calculatedColumnFormula>
    </tableColumn>
    <tableColumn id="3" xr3:uid="{C4AFCBF6-554B-4582-9599-CB16A66C7A36}" name="Scope Coverage" dataDxfId="84">
      <calculatedColumnFormula>IF(D5="1+2+3",1,IF(D5="1+2",0.5,IF(D5="1",0.25,IF(D5="Unclear",0))))</calculatedColumnFormula>
    </tableColumn>
    <tableColumn id="4" xr3:uid="{A9006B20-FD83-459A-AED5-70328A5BF39E}" name="SBTi Validation" dataDxfId="83">
      <calculatedColumnFormula>IF(E5="",0,IF(E5="No",0,IF(E5="Yes",1)))</calculatedColumnFormula>
    </tableColumn>
    <tableColumn id="5" xr3:uid="{4CC16B54-7E0C-4FE1-A212-95C9DA647259}" name="TPI Alignment" dataDxfId="82">
      <calculatedColumnFormula>IF(F5=5,1,IF(F5=4,0.8,IF(F5=3,0.6,IF(F5=2,0.4,IF(F5=1,0.2,IF(F5=0,0,IF(F5="N/A",0)))))))</calculatedColumnFormula>
    </tableColumn>
    <tableColumn id="14" xr3:uid="{83764270-3253-45DB-A323-6D7F04F4AB06}" name="E1 Score" dataDxfId="81" dataCellStyle="Percent">
      <calculatedColumnFormula>(Table57[[#This Row],[Net Zero Commitment]]+Table57[[#This Row],[Scope Coverage]]+Table57[[#This Row],[SBTi Validation]]+Table57[[#This Row],[TPI Alignment]])/4</calculatedColumnFormula>
    </tableColumn>
    <tableColumn id="6" xr3:uid="{24CADD06-E53B-4621-8E4C-D92788ABCBFB}" name="Decarb CapEx" dataDxfId="80">
      <calculatedColumnFormula>IF(H5="",0,IF(H5="None",0,IF(H5="A",0.5,IF(H5="B",0.75,IF(H5="C",1)))))</calculatedColumnFormula>
    </tableColumn>
    <tableColumn id="7" xr3:uid="{D12B064B-B94A-4B17-861B-7FFBED5775B8}" name="Green Bonds ($bn)" dataDxfId="79">
      <calculatedColumnFormula>IF(I5="",0,IF(I5="N/A",0,IF(I5&gt;=1,1,IF(I5&gt;=0.75,0.75,IF(I5&gt;=0.5,0.5,IF(I5&gt;=0.25,0.25,IF(I5&gt;0,0.25,0)))))))</calculatedColumnFormula>
    </tableColumn>
    <tableColumn id="8" xr3:uid="{DA143993-531C-4D1E-9462-0A896F041933}" name="Memberships" dataDxfId="78">
      <calculatedColumnFormula>IF(J5="",0,IF(J5="No",0,IF(J5="Yes",0.75,IF(J5="Gold",1))))</calculatedColumnFormula>
    </tableColumn>
    <tableColumn id="9" xr3:uid="{1AE44477-BBC6-4182-B984-507415731198}" name="Internal Carbon Price" dataDxfId="77">
      <calculatedColumnFormula>IF(K5="",0,IF(K5="No",0,IF(K5="Yes",1)))</calculatedColumnFormula>
    </tableColumn>
    <tableColumn id="15" xr3:uid="{A3CE5687-2443-4D9D-B228-56FB771AF78C}" name="E2 Score" dataDxfId="76" dataCellStyle="Percent">
      <calculatedColumnFormula>((Table57[[#This Row],[Decarb CapEx]]+Table57[[#This Row],[Green Bonds ($bn)]]+Table57[[#This Row],[Memberships]]+Table57[[#This Row],[Internal Carbon Price]])/4)</calculatedColumnFormula>
    </tableColumn>
    <tableColumn id="10" xr3:uid="{4A845BD2-B20B-42A7-B462-A1E5FCC333F4}" name="Sust. Report Page # " dataDxfId="75">
      <calculatedColumnFormula>M5/100</calculatedColumnFormula>
    </tableColumn>
    <tableColumn id="11" xr3:uid="{3C8CF47E-CE06-4E48-8EB8-DB2E89A824C8}" name="CDP Score" dataDxfId="74">
      <calculatedColumnFormula>IF(N5="",0,IF(N5="A",1,IF(N5="A-",0.8,IF(N5="B",0.6,IF(N5="C",0.4,IF(N5="D",0.2,IF(N5="F",0,IF(N5="N/A",0))))))))</calculatedColumnFormula>
    </tableColumn>
    <tableColumn id="12" xr3:uid="{299818AC-9BF1-466E-BA64-B47C88A734A6}" name="Climate KPI's" dataDxfId="73">
      <calculatedColumnFormula>IF(O5="",0,IF(O5="N/A",0,IF(O5="No",0,IF(O5="Yes",1))))</calculatedColumnFormula>
    </tableColumn>
    <tableColumn id="13" xr3:uid="{BC9665BC-2B66-425A-88A0-8A387BA6ED31}" name="Assurance Level" dataDxfId="72">
      <calculatedColumnFormula>IF(P5="",0,IF(P5="Reasonable",1,IF(P5="Limited",0.5,IF(P5="None",0))))</calculatedColumnFormula>
    </tableColumn>
    <tableColumn id="16" xr3:uid="{518573C9-DC02-4B11-9D05-6672CAB57AD1}" name="E3 Score" dataDxfId="71" dataCellStyle="Percent">
      <calculatedColumnFormula>((Table57[[#This Row],[Sust. Report Page '# ]]+Table57[[#This Row],[CDP Score]]+Table57[[#This Row],[Climate KPI''s]]+Table57[[#This Row],[Assurance Level]])/4)</calculatedColumnFormula>
    </tableColumn>
    <tableColumn id="17" xr3:uid="{33FF35C2-2B9F-429F-9676-9A404FF09B17}" name="Social Score" dataDxfId="70" dataCellStyle="Percent">
      <calculatedColumnFormula>((Table57[[#This Row],[E1 Score]]+Table57[[#This Row],[E2 Score]]+Table57[[#This Row],[E3 Score]])/3)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F6818-4911-463B-A52F-D14DD040DD16}" name="Table4" displayName="Table4" ref="B4:P105" totalsRowShown="0" headerRowDxfId="69" dataDxfId="68">
  <autoFilter ref="B4:P105" xr:uid="{B93F6818-4911-463B-A52F-D14DD040D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AE224F1-6945-426C-AC61-F24F43A7A6AF}" name="Company" dataDxfId="67"/>
    <tableColumn id="2" xr3:uid="{F09B799A-1CDF-4A7C-A3C7-AD720F159C15}" name="Gender Target" dataDxfId="66"/>
    <tableColumn id="3" xr3:uid="{52CE9C84-0EBC-456C-9B5C-CAE50CC5B581}" name="Leadership Gender %" dataDxfId="65" dataCellStyle="Percent"/>
    <tableColumn id="4" xr3:uid="{E66FBA35-8240-42AE-9613-AEC890EEE517}" name="Ethnicity Target" dataDxfId="64"/>
    <tableColumn id="5" xr3:uid="{DE14C997-AA62-469D-BB7F-6ED5B40E0980}" name="Workforce Representation" dataDxfId="63"/>
    <tableColumn id="13" xr3:uid="{7EF83185-821B-4AD4-9DC6-C56C214861A6}" name="   " dataDxfId="62"/>
    <tableColumn id="6" xr3:uid="{B9506FD6-8B15-4B6C-8157-FF4868E05077}" name="Stonewall/10000" dataDxfId="61"/>
    <tableColumn id="8" xr3:uid="{3DAEC107-08D9-4BE5-AA59-CD8E8E56C740}" name="Bloomberg" dataDxfId="60"/>
    <tableColumn id="17" xr3:uid="{839A915F-D3FC-4EE4-8916-9370C5BE2235}" name="Wdi Rep" dataDxfId="59"/>
    <tableColumn id="14" xr3:uid="{D72D059D-C609-41CC-A6B6-CABEE5616068}" name=" " dataDxfId="58"/>
    <tableColumn id="10" xr3:uid="{45DEAFFD-883F-43C6-8930-2E98E1468404}" name="Diversity Linked to Exec Pay" dataDxfId="57"/>
    <tableColumn id="11" xr3:uid="{E82C5222-F49F-420C-A7BD-4533B9A8F9AF}" name="Board DEI Oversight" dataDxfId="56"/>
    <tableColumn id="18" xr3:uid="{EA977F0A-B77F-47E0-8E89-D29F3B0D86DD}" name="Senior Management Target" dataDxfId="55"/>
    <tableColumn id="15" xr3:uid="{08A2BF68-B2A1-4BC3-85BE-DD34AC869A91}" name="  " dataDxfId="54"/>
    <tableColumn id="16" xr3:uid="{D60F89E6-374D-49B0-B5B1-0D598C8E70BC}" name="       " dataDxfId="53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2A7919-87B1-40B9-9C01-75905FF5A0D3}" name="Table48" displayName="Table48" ref="B109:P209" totalsRowShown="0" headerRowDxfId="52" dataDxfId="51">
  <autoFilter ref="B109:P209" xr:uid="{CC2A7919-87B1-40B9-9C01-75905FF5A0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C28CB49-319B-46EB-BA47-77455CD068C6}" name="Company" dataDxfId="50"/>
    <tableColumn id="2" xr3:uid="{EB6016F5-F7A6-44AA-9997-186DACA25EA9}" name="Board Gender" dataDxfId="49">
      <calculatedColumnFormula>IF(C5="N/A",0,IF(C5="Metric Only",0.3,IF(C5="Aspirational",0.6,IF(C5="Formal",1))))</calculatedColumnFormula>
    </tableColumn>
    <tableColumn id="3" xr3:uid="{39A0B51C-0110-4C1E-9C79-42ADC87D1351}" name="Leadership Gender %" dataDxfId="48">
      <calculatedColumnFormula>IF(D5=0,0,IF(D5&gt;=0.6,1,IF(D5&gt;=0.5,0.75,IF(D5&gt;=0.4,0.5,IF(D5&gt;=0.3,0.25,IF(D5&lt;0.3,0.1))))))</calculatedColumnFormula>
    </tableColumn>
    <tableColumn id="4" xr3:uid="{1DFEE481-F138-4FF0-AD41-DA4D2FEA729B}" name="Ethnicity Target" dataDxfId="47">
      <calculatedColumnFormula>IF(E5="N/A",0,IF(E5="Metric Only",0.3,IF(E5="Aspirational",0.6,IF(E5="Formal",1))))</calculatedColumnFormula>
    </tableColumn>
    <tableColumn id="5" xr3:uid="{F480D9CB-1B00-4490-8711-28CDC6DE254D}" name="Workforce Representation" dataDxfId="46"/>
    <tableColumn id="13" xr3:uid="{5F1AB1F4-063C-48E9-B0C9-D177FFC4375E}" name="S1 Score" dataDxfId="45" dataCellStyle="Percent">
      <calculatedColumnFormula>(C110+D110+E110+F110)/4</calculatedColumnFormula>
    </tableColumn>
    <tableColumn id="6" xr3:uid="{40CD07D4-6CA6-44D5-ACCE-B1AEEE9140A6}" name="Stonewall/10000" dataDxfId="44">
      <calculatedColumnFormula>IF(H5="None",0,IF(H5=1,1,IF(H5=2,1.2)))</calculatedColumnFormula>
    </tableColumn>
    <tableColumn id="8" xr3:uid="{374C67D5-049A-4FE5-8469-92BA5BDA82DD}" name="Bloomberg" dataDxfId="43">
      <calculatedColumnFormula>IF(I5="",0,IF(I5="No",0,IF(I5="Yes",1)))</calculatedColumnFormula>
    </tableColumn>
    <tableColumn id="9" xr3:uid="{B9A6B254-D63D-44CA-9A3C-0D474A41907D}" name="WDI Rep" dataDxfId="42">
      <calculatedColumnFormula>IF(J5="",0,IF(J5="No",0,IF(J5="Yes",1)))</calculatedColumnFormula>
    </tableColumn>
    <tableColumn id="14" xr3:uid="{14E717E7-863E-44A7-B2C5-BAA5699310D4}" name="S2 Score" dataDxfId="41" dataCellStyle="Percent">
      <calculatedColumnFormula>(H110+I110+J110)/3</calculatedColumnFormula>
    </tableColumn>
    <tableColumn id="10" xr3:uid="{2B27E05D-B2D7-474C-982E-4B05EDE36596}" name="Diversity Linked to Exec Pay" dataDxfId="40">
      <calculatedColumnFormula>IF(L5="Not Linked",0,IF(L5="Partially Linked",0.5,IF(L5="Linked",1)))</calculatedColumnFormula>
    </tableColumn>
    <tableColumn id="11" xr3:uid="{D9A09B28-3D6C-4F1F-96EB-52BF2D915EFB}" name="Board DEI Oversight" dataDxfId="39">
      <calculatedColumnFormula>IF(M5="No",0,IF(M5="Yes",1))</calculatedColumnFormula>
    </tableColumn>
    <tableColumn id="12" xr3:uid="{017C8395-2B60-4405-BB31-860EC8E24B75}" name="Senior Management Target" dataDxfId="38">
      <calculatedColumnFormula>IF(N5="",0,IF(N5="No",0,IF(N5="Yes",1)))</calculatedColumnFormula>
    </tableColumn>
    <tableColumn id="15" xr3:uid="{50334785-58AE-45D0-ABCB-E5DD9B24764B}" name="S3 Score" dataDxfId="37" dataCellStyle="Percent">
      <calculatedColumnFormula>(L110+M110+N110)/3</calculatedColumnFormula>
    </tableColumn>
    <tableColumn id="16" xr3:uid="{5C41DA51-EF91-4AF3-AB0B-EFA20756FBC4}" name="Social Score" dataDxfId="36" dataCellStyle="Percent">
      <calculatedColumnFormula>(Table48[[#This Row],[S1 Score]]+Table48[[#This Row],[S2 Score]]+Table48[[#This Row],[S3 Score]])/3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D31496-CC51-4BE3-9D97-39DBEF80BAAA}" name="Table3" displayName="Table3" ref="B4:L104" totalsRowShown="0" headerRowDxfId="35" dataDxfId="34">
  <autoFilter ref="B4:L104" xr:uid="{32D31496-CC51-4BE3-9D97-39DBEF80BA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AF6E5982-F4AC-4B95-A724-48FCF47FD856}" name="Company" dataDxfId="33"/>
    <tableColumn id="1" xr3:uid="{6154FFD4-2F0E-4304-8149-D758EE3FB131}" name="Sust. Report Page # " dataDxfId="32"/>
    <tableColumn id="2" xr3:uid="{9751A027-27E3-4309-898B-3644235997B4}" name="CDP Score" dataDxfId="31"/>
    <tableColumn id="3" xr3:uid="{8855EBA8-D4C0-4F7D-9A2E-B9EC0D09D5D6}" name="Climate KPI's" dataDxfId="30"/>
    <tableColumn id="4" xr3:uid="{3C928611-D5CB-427B-BE04-F9E47D6F00F7}" name="Assurance Level" dataDxfId="29"/>
    <tableColumn id="13" xr3:uid="{FC72BD7C-06A4-4BAD-8F69-C32750A86ED8}" name=" " dataDxfId="28"/>
    <tableColumn id="5" xr3:uid="{BCC7C5A5-45E5-43BB-8D25-2E298735B7F4}" name="Diversity Linked to Exec Pay" dataDxfId="27"/>
    <tableColumn id="6" xr3:uid="{64B1C09F-2595-4AA4-9536-2B96A5D163B2}" name="Board DEI Oversight" dataDxfId="26"/>
    <tableColumn id="7" xr3:uid="{7F0CCCD7-F392-4D19-AEFC-CB9F9AACC6C1}" name="Senior Management Target" dataDxfId="25"/>
    <tableColumn id="14" xr3:uid="{5EF9B73E-2627-4D5B-88DA-B81CE839C91E}" name="   " dataDxfId="24"/>
    <tableColumn id="16" xr3:uid="{9F94CF3C-2FA4-45BC-880D-20AD96ADA33A}" name="  " dataDxfId="23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92D9E-8911-457E-92B1-E339C06AD72C}" name="Table39" displayName="Table39" ref="B108:L208" totalsRowShown="0" headerRowDxfId="22" dataDxfId="21">
  <autoFilter ref="B108:L208" xr:uid="{BAC92D9E-8911-457E-92B1-E339C06AD7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F26606ED-9C08-46E7-892C-1FCD0DA6A9BE}" name="Company" dataDxfId="20"/>
    <tableColumn id="1" xr3:uid="{73D365DC-7231-46C8-95BC-1322713286B3}" name="Sust. Report Page # " dataDxfId="19"/>
    <tableColumn id="2" xr3:uid="{3BF6D5D8-0487-4BC9-B0CB-D6751CD69B40}" name="CDP Score" dataDxfId="18">
      <calculatedColumnFormula>IF(D5="",0,IF(D5="A",1,IF(D5="A-",0.8,IF(D5="B",0.6,IF(D5="C",0.4,IF(D5="D",0.2,IF(D5="F",0,IF(D5="N/A",0))))))))</calculatedColumnFormula>
    </tableColumn>
    <tableColumn id="3" xr3:uid="{91D0019D-449E-4B8B-8239-8C04504ED1B2}" name="Climate KPI's" dataDxfId="17">
      <calculatedColumnFormula>IF(E5="",0,IF(E5="N/A",0,IF(E5="No",0,IF(E5="Yes",1))))</calculatedColumnFormula>
    </tableColumn>
    <tableColumn id="4" xr3:uid="{F890C3D1-BD25-4ACF-A5DD-016AD8D24767}" name="Assurance Level" dataDxfId="16">
      <calculatedColumnFormula>IF(F5="",0,IF(F5="Reasonable",1,IF(F5="Limited",0.5,IF(F5="None",0))))</calculatedColumnFormula>
    </tableColumn>
    <tableColumn id="13" xr3:uid="{AA070E9C-0C54-4788-BF87-1CC5FBF943DD}" name="G1 Score" dataDxfId="15">
      <calculatedColumnFormula>(Table39[[#This Row],[Sust. Report Page '# ]]+Table39[[#This Row],[CDP Score]]+Table39[[#This Row],[Climate KPI''s]]+Table39[[#This Row],[Assurance Level]])/4</calculatedColumnFormula>
    </tableColumn>
    <tableColumn id="5" xr3:uid="{F83095E8-9430-42B8-AE71-C237843447B6}" name="Diversity Linked to Exec Pay" dataDxfId="14">
      <calculatedColumnFormula>IF(H5="Not Linked",0,IF(H5="Partially Linked",0.5,IF(H5="Linked",1)))</calculatedColumnFormula>
    </tableColumn>
    <tableColumn id="6" xr3:uid="{8B8A633E-C1C3-4061-92B3-0B911526E8A9}" name="Board DEI Oversight" dataDxfId="13">
      <calculatedColumnFormula>IF(I5="No",0,IF(I5="Yes",1))</calculatedColumnFormula>
    </tableColumn>
    <tableColumn id="7" xr3:uid="{4F3E27BC-58D0-4969-BA5A-D34CAF4BD9BD}" name="Senior Management Target" dataDxfId="12">
      <calculatedColumnFormula>IF(J5="",0,IF(J5="No",0,IF(J5="Yes",1)))</calculatedColumnFormula>
    </tableColumn>
    <tableColumn id="14" xr3:uid="{A08F1D78-B026-45AD-BAE8-087FCD5910E1}" name="G2 Score" dataDxfId="11">
      <calculatedColumnFormula>(Table39[[#This Row],[Diversity Linked to Exec Pay]]+Table39[[#This Row],[Board DEI Oversight]]+Table39[[#This Row],[Senior Management Target]])/3</calculatedColumnFormula>
    </tableColumn>
    <tableColumn id="16" xr3:uid="{7F319BB3-FFA9-42BF-A66E-FCC2DCEEB6A5}" name="Governance Score" dataDxfId="10" dataCellStyle="Percent">
      <calculatedColumnFormula>(Table39[[#This Row],[G1 Score]]+Table39[[#This Row],[G2 Score]])/2</calculatedColumnFormula>
    </tableColumn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DF9B32-594F-4E5F-BABB-3DDCC230EED8}" name="Table2" displayName="Table2" ref="B2:H103" totalsRowShown="0" headerRowDxfId="9" dataDxfId="8">
  <autoFilter ref="B2:H103" xr:uid="{B6DF9B32-594F-4E5F-BABB-3DDCC230EED8}"/>
  <sortState xmlns:xlrd2="http://schemas.microsoft.com/office/spreadsheetml/2017/richdata2" ref="B3:H103">
    <sortCondition ref="B2:B103"/>
  </sortState>
  <tableColumns count="7">
    <tableColumn id="1" xr3:uid="{25395B84-4C5D-4949-86EF-8D5EF3E485E7}" name="Company Name" dataDxfId="7"/>
    <tableColumn id="2" xr3:uid="{DBE31EC9-C4B6-42E5-89F3-33A2964DABB7}" name="Ticker" dataDxfId="6"/>
    <tableColumn id="3" xr3:uid="{235CF85E-F846-4E9C-95C2-94FE3CCDFDD1}" name="Sector" dataDxfId="5"/>
    <tableColumn id="4" xr3:uid="{D5EA12C4-7813-47A9-B377-D494F275D620}" name="Website" dataDxfId="4"/>
    <tableColumn id="5" xr3:uid="{6D86E8F7-401E-4778-95C0-F17F416389FD}" name="Annual Report URL" dataDxfId="3"/>
    <tableColumn id="6" xr3:uid="{F4F4CDEB-1412-406A-97A5-3552B891AE07}" name="ESG/Sustainability Report URL" dataDxfId="2"/>
    <tableColumn id="7" xr3:uid="{AA0B167F-8105-45A0-A205-A0019BC32EAC}" name="Reporting Yea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itionpathwayinitiative.org/corporates" TargetMode="External"/><Relationship Id="rId13" Type="http://schemas.openxmlformats.org/officeDocument/2006/relationships/table" Target="../tables/table3.xml"/><Relationship Id="rId3" Type="http://schemas.openxmlformats.org/officeDocument/2006/relationships/hyperlink" Target="https://knowesg.com/" TargetMode="External"/><Relationship Id="rId7" Type="http://schemas.openxmlformats.org/officeDocument/2006/relationships/hyperlink" Target="https://www.transitionpathwayinitiative.org/corporates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knowesg.com/" TargetMode="External"/><Relationship Id="rId1" Type="http://schemas.openxmlformats.org/officeDocument/2006/relationships/hyperlink" Target="https://sciencebasedtargets.org/target-dashboard" TargetMode="External"/><Relationship Id="rId6" Type="http://schemas.openxmlformats.org/officeDocument/2006/relationships/hyperlink" Target="https://www.there100.org/re100-members?items_per_page=All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there100.org/re100-members?items_per_page=All" TargetMode="External"/><Relationship Id="rId10" Type="http://schemas.openxmlformats.org/officeDocument/2006/relationships/hyperlink" Target="https://transitionpathwayinitiative.org/corporates" TargetMode="External"/><Relationship Id="rId4" Type="http://schemas.openxmlformats.org/officeDocument/2006/relationships/hyperlink" Target="http://transitionpathwayinitiative.org/corporates" TargetMode="External"/><Relationship Id="rId9" Type="http://schemas.openxmlformats.org/officeDocument/2006/relationships/hyperlink" Target="https://www.icmagroup.org/sustainable-finance/sustainable-bonds-database/" TargetMode="External"/><Relationship Id="rId1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di.trust.org/wdi-awards-2024/" TargetMode="External"/><Relationship Id="rId2" Type="http://schemas.openxmlformats.org/officeDocument/2006/relationships/hyperlink" Target="https://parkerreview.co.uk/wp-content/uploads/2026/03/The-Parker-Review-March-2026.pdf" TargetMode="External"/><Relationship Id="rId1" Type="http://schemas.openxmlformats.org/officeDocument/2006/relationships/hyperlink" Target="https://ftsewomenleaders.com/company-rankings/" TargetMode="Externa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FTSE_100_Index" TargetMode="External"/><Relationship Id="rId13" Type="http://schemas.openxmlformats.org/officeDocument/2006/relationships/hyperlink" Target="https://topforeignstocks.com/indices/components-of-the-ftse-100-index/" TargetMode="External"/><Relationship Id="rId18" Type="http://schemas.openxmlformats.org/officeDocument/2006/relationships/hyperlink" Target="https://topforeignstocks.com/indices/components-of-the-ftse-100-index/" TargetMode="External"/><Relationship Id="rId3" Type="http://schemas.openxmlformats.org/officeDocument/2006/relationships/hyperlink" Target="https://www.admiralgroup.co.uk/news-releases/news-release-details/annual-financial-report-0" TargetMode="External"/><Relationship Id="rId21" Type="http://schemas.openxmlformats.org/officeDocument/2006/relationships/hyperlink" Target="https://topforeignstocks.com/indices/components-of-the-ftse-100-index/" TargetMode="External"/><Relationship Id="rId7" Type="http://schemas.openxmlformats.org/officeDocument/2006/relationships/hyperlink" Target="https://en.wikipedia.org/wiki/FTSE_100_Index" TargetMode="External"/><Relationship Id="rId12" Type="http://schemas.openxmlformats.org/officeDocument/2006/relationships/hyperlink" Target="https://topforeignstocks.com/indices/components-of-the-ftse-100-index/" TargetMode="External"/><Relationship Id="rId17" Type="http://schemas.openxmlformats.org/officeDocument/2006/relationships/hyperlink" Target="https://topforeignstocks.com/indices/components-of-the-ftse-100-index/" TargetMode="External"/><Relationship Id="rId2" Type="http://schemas.openxmlformats.org/officeDocument/2006/relationships/hyperlink" Target="https://www.editor.3i.com/investor-relations/report-library/2023/annual-report-and-accounts-2023-highlights/" TargetMode="External"/><Relationship Id="rId16" Type="http://schemas.openxmlformats.org/officeDocument/2006/relationships/hyperlink" Target="https://topforeignstocks.com/indices/components-of-the-ftse-100-index/" TargetMode="External"/><Relationship Id="rId20" Type="http://schemas.openxmlformats.org/officeDocument/2006/relationships/hyperlink" Target="https://topforeignstocks.com/indices/components-of-the-ftse-100-index/" TargetMode="External"/><Relationship Id="rId1" Type="http://schemas.openxmlformats.org/officeDocument/2006/relationships/hyperlink" Target="https://www.3i.com/" TargetMode="External"/><Relationship Id="rId6" Type="http://schemas.openxmlformats.org/officeDocument/2006/relationships/hyperlink" Target="https://en.wikipedia.org/wiki/FTSE_100_Index" TargetMode="External"/><Relationship Id="rId11" Type="http://schemas.openxmlformats.org/officeDocument/2006/relationships/hyperlink" Target="https://www.bp.com/en/global/corporate/investors/results-reporting-and-presentations/annual-report.html" TargetMode="External"/><Relationship Id="rId5" Type="http://schemas.openxmlformats.org/officeDocument/2006/relationships/hyperlink" Target="https://www.alliancewitan.com/landing-pages/announcement" TargetMode="External"/><Relationship Id="rId15" Type="http://schemas.openxmlformats.org/officeDocument/2006/relationships/hyperlink" Target="https://topforeignstocks.com/indices/components-of-the-ftse-100-index/" TargetMode="External"/><Relationship Id="rId23" Type="http://schemas.openxmlformats.org/officeDocument/2006/relationships/table" Target="../tables/table8.xml"/><Relationship Id="rId10" Type="http://schemas.openxmlformats.org/officeDocument/2006/relationships/hyperlink" Target="https://www.bp.com/en/global/corporate/investors/results-reporting-and-presentations/annual-report.html" TargetMode="External"/><Relationship Id="rId19" Type="http://schemas.openxmlformats.org/officeDocument/2006/relationships/hyperlink" Target="https://topforeignstocks.com/indices/components-of-the-ftse-100-index/" TargetMode="External"/><Relationship Id="rId4" Type="http://schemas.openxmlformats.org/officeDocument/2006/relationships/hyperlink" Target="https://www.alliancewitan.com/landing-pages/announcement" TargetMode="External"/><Relationship Id="rId9" Type="http://schemas.openxmlformats.org/officeDocument/2006/relationships/hyperlink" Target="https://en.wikipedia.org/wiki/FTSE_100_Index" TargetMode="External"/><Relationship Id="rId14" Type="http://schemas.openxmlformats.org/officeDocument/2006/relationships/hyperlink" Target="https://topforeignstocks.com/indices/components-of-the-ftse-100-index/" TargetMode="External"/><Relationship Id="rId22" Type="http://schemas.openxmlformats.org/officeDocument/2006/relationships/hyperlink" Target="https://topforeignstocks.com/indices/components-of-the-ftse-100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Q107"/>
  <sheetViews>
    <sheetView showGridLines="0" tabSelected="1" zoomScale="90" zoomScaleNormal="90" workbookViewId="0">
      <selection activeCell="K19" sqref="K19"/>
    </sheetView>
  </sheetViews>
  <sheetFormatPr defaultRowHeight="16" x14ac:dyDescent="0.4"/>
  <cols>
    <col min="1" max="1" width="4.54296875" style="1" customWidth="1"/>
    <col min="2" max="2" width="30.81640625" style="1" bestFit="1" customWidth="1"/>
    <col min="3" max="3" width="9.7265625" style="1" bestFit="1" customWidth="1"/>
    <col min="4" max="4" width="45.90625" style="1" bestFit="1" customWidth="1"/>
    <col min="5" max="5" width="20.08984375" style="1" bestFit="1" customWidth="1"/>
    <col min="6" max="6" width="28.6328125" style="1" bestFit="1" customWidth="1"/>
    <col min="7" max="7" width="22.54296875" style="1" bestFit="1" customWidth="1"/>
    <col min="8" max="8" width="23.54296875" style="1" bestFit="1" customWidth="1"/>
    <col min="9" max="9" width="34.1796875" style="1" bestFit="1" customWidth="1"/>
    <col min="10" max="10" width="38.1796875" style="1" bestFit="1" customWidth="1"/>
    <col min="11" max="11" width="21.453125" style="1" bestFit="1" customWidth="1"/>
    <col min="12" max="12" width="21.453125" style="1" customWidth="1"/>
    <col min="13" max="13" width="14.36328125" style="1" bestFit="1" customWidth="1"/>
    <col min="14" max="14" width="39.36328125" style="1" bestFit="1" customWidth="1"/>
    <col min="15" max="15" width="31.453125" style="1" bestFit="1" customWidth="1"/>
    <col min="16" max="16" width="31.453125" style="1" customWidth="1"/>
    <col min="17" max="17" width="16.453125" style="1" bestFit="1" customWidth="1"/>
    <col min="18" max="16384" width="8.7265625" style="1"/>
  </cols>
  <sheetData>
    <row r="1" spans="2:16" ht="25" customHeight="1" thickBot="1" x14ac:dyDescent="0.45"/>
    <row r="2" spans="2:16" ht="21.5" thickTop="1" x14ac:dyDescent="0.5">
      <c r="B2" s="70" t="s">
        <v>775</v>
      </c>
      <c r="C2" s="70"/>
      <c r="D2" s="71"/>
      <c r="E2" s="73" t="s">
        <v>0</v>
      </c>
      <c r="F2" s="74"/>
      <c r="G2" s="74"/>
      <c r="H2" s="75"/>
      <c r="I2" s="76" t="s">
        <v>1</v>
      </c>
      <c r="J2" s="77"/>
      <c r="K2" s="77"/>
      <c r="L2" s="78"/>
      <c r="M2" s="69" t="s">
        <v>776</v>
      </c>
      <c r="N2"/>
      <c r="O2"/>
      <c r="P2"/>
    </row>
    <row r="3" spans="2:16" s="10" customFormat="1" ht="19" thickBot="1" x14ac:dyDescent="0.5">
      <c r="B3" s="10" t="s">
        <v>4</v>
      </c>
      <c r="C3" s="10" t="s">
        <v>80</v>
      </c>
      <c r="D3" s="10" t="s">
        <v>78</v>
      </c>
      <c r="E3" s="44" t="s">
        <v>675</v>
      </c>
      <c r="F3" s="45" t="s">
        <v>736</v>
      </c>
      <c r="G3" s="45" t="s">
        <v>676</v>
      </c>
      <c r="H3" s="46" t="s">
        <v>718</v>
      </c>
      <c r="I3" s="47" t="s">
        <v>2</v>
      </c>
      <c r="J3" s="48" t="s">
        <v>3</v>
      </c>
      <c r="K3" s="48" t="s">
        <v>678</v>
      </c>
      <c r="L3" s="49" t="s">
        <v>683</v>
      </c>
      <c r="M3" s="50" t="s">
        <v>739</v>
      </c>
    </row>
    <row r="4" spans="2:16" ht="16.5" thickTop="1" x14ac:dyDescent="0.4">
      <c r="B4" s="2" t="s">
        <v>5</v>
      </c>
      <c r="C4" s="1" t="s">
        <v>85</v>
      </c>
      <c r="D4" s="1" t="s">
        <v>86</v>
      </c>
      <c r="E4" s="40">
        <f>'Environment '!G109</f>
        <v>0.6875</v>
      </c>
      <c r="F4" s="40">
        <f>'Environment '!L109</f>
        <v>0</v>
      </c>
      <c r="G4" s="40">
        <f>'Environment '!Q109</f>
        <v>0.2</v>
      </c>
      <c r="H4" s="42">
        <f>'Environment '!R109</f>
        <v>0.29583333333333334</v>
      </c>
      <c r="I4" s="41">
        <f>Social!G110</f>
        <v>0.625</v>
      </c>
      <c r="J4" s="40">
        <f>Social!K110</f>
        <v>0.33333333333333331</v>
      </c>
      <c r="K4" s="40">
        <f>Social!O110</f>
        <v>0.66666666666666663</v>
      </c>
      <c r="L4" s="42">
        <f>Social!P110</f>
        <v>0.54166666666666663</v>
      </c>
      <c r="M4" s="42">
        <f>(FullIndex[[#This Row],[Environment Score]]+FullIndex[[#This Row],[Social Score]])/2</f>
        <v>0.41874999999999996</v>
      </c>
    </row>
    <row r="5" spans="2:16" x14ac:dyDescent="0.4">
      <c r="B5" s="2" t="s">
        <v>6</v>
      </c>
      <c r="C5" s="1" t="s">
        <v>90</v>
      </c>
      <c r="D5" s="1" t="s">
        <v>91</v>
      </c>
      <c r="E5" s="40">
        <f>'Environment '!G110</f>
        <v>0.6875</v>
      </c>
      <c r="F5" s="40">
        <f>'Environment '!L110</f>
        <v>0.1875</v>
      </c>
      <c r="G5" s="40">
        <f>'Environment '!Q110</f>
        <v>0.38250000000000001</v>
      </c>
      <c r="H5" s="42">
        <f>'Environment '!R110</f>
        <v>0.41916666666666669</v>
      </c>
      <c r="I5" s="41">
        <f>Social!G111</f>
        <v>0.52500000000000002</v>
      </c>
      <c r="J5" s="40">
        <f>Social!K111</f>
        <v>0</v>
      </c>
      <c r="K5" s="40">
        <f>Social!O111</f>
        <v>0.83333333333333337</v>
      </c>
      <c r="L5" s="42">
        <f>Social!P111</f>
        <v>0.45277777777777778</v>
      </c>
      <c r="M5" s="42">
        <f>(FullIndex[[#This Row],[Environment Score]]+FullIndex[[#This Row],[Social Score]])/2</f>
        <v>0.43597222222222221</v>
      </c>
    </row>
    <row r="6" spans="2:16" x14ac:dyDescent="0.4">
      <c r="B6" s="2" t="s">
        <v>94</v>
      </c>
      <c r="C6" s="1" t="s">
        <v>95</v>
      </c>
      <c r="D6" s="1" t="s">
        <v>96</v>
      </c>
      <c r="E6" s="40">
        <f>'Environment '!G111</f>
        <v>0.125</v>
      </c>
      <c r="F6" s="40">
        <f>'Environment '!L111</f>
        <v>6.25E-2</v>
      </c>
      <c r="G6" s="40">
        <f>'Environment '!Q111</f>
        <v>0.125</v>
      </c>
      <c r="H6" s="42">
        <f>'Environment '!R111</f>
        <v>0.10416666666666667</v>
      </c>
      <c r="I6" s="41">
        <f>Social!G112</f>
        <v>0.36249999999999999</v>
      </c>
      <c r="J6" s="40">
        <f>Social!K112</f>
        <v>0</v>
      </c>
      <c r="K6" s="40">
        <f>Social!O112</f>
        <v>0.33333333333333331</v>
      </c>
      <c r="L6" s="42">
        <f>Social!P112</f>
        <v>0.23194444444444443</v>
      </c>
      <c r="M6" s="42">
        <f>(FullIndex[[#This Row],[Environment Score]]+FullIndex[[#This Row],[Social Score]])/2</f>
        <v>0.16805555555555554</v>
      </c>
    </row>
    <row r="7" spans="2:16" x14ac:dyDescent="0.4">
      <c r="B7" s="2" t="s">
        <v>7</v>
      </c>
      <c r="C7" s="1" t="s">
        <v>100</v>
      </c>
      <c r="D7" s="1" t="s">
        <v>101</v>
      </c>
      <c r="E7" s="40">
        <f>'Environment '!G112</f>
        <v>0.25</v>
      </c>
      <c r="F7" s="40">
        <f>'Environment '!L112</f>
        <v>0</v>
      </c>
      <c r="G7" s="40">
        <f>'Environment '!Q112</f>
        <v>0.01</v>
      </c>
      <c r="H7" s="42">
        <f>'Environment '!R112</f>
        <v>8.666666666666667E-2</v>
      </c>
      <c r="I7" s="41">
        <f>Social!G113</f>
        <v>0.25</v>
      </c>
      <c r="J7" s="40">
        <f>Social!K113</f>
        <v>0</v>
      </c>
      <c r="K7" s="40">
        <f>Social!O113</f>
        <v>0.5</v>
      </c>
      <c r="L7" s="42">
        <f>Social!P113</f>
        <v>0.25</v>
      </c>
      <c r="M7" s="42">
        <f>(FullIndex[[#This Row],[Environment Score]]+FullIndex[[#This Row],[Social Score]])/2</f>
        <v>0.16833333333333333</v>
      </c>
    </row>
    <row r="8" spans="2:16" x14ac:dyDescent="0.4">
      <c r="B8" s="2" t="s">
        <v>8</v>
      </c>
      <c r="C8" s="1" t="s">
        <v>105</v>
      </c>
      <c r="D8" s="1" t="s">
        <v>106</v>
      </c>
      <c r="E8" s="40">
        <f>'Environment '!G113</f>
        <v>0.51249999999999996</v>
      </c>
      <c r="F8" s="40">
        <f>'Environment '!L113</f>
        <v>0.375</v>
      </c>
      <c r="G8" s="40">
        <f>'Environment '!Q113</f>
        <v>0.86</v>
      </c>
      <c r="H8" s="42">
        <f>'Environment '!R113</f>
        <v>0.58250000000000002</v>
      </c>
      <c r="I8" s="41">
        <f>Social!G114</f>
        <v>0.625</v>
      </c>
      <c r="J8" s="40">
        <f>Social!K114</f>
        <v>0.33333333333333331</v>
      </c>
      <c r="K8" s="40">
        <f>Social!O114</f>
        <v>0.5</v>
      </c>
      <c r="L8" s="42">
        <f>Social!P114</f>
        <v>0.4861111111111111</v>
      </c>
      <c r="M8" s="42">
        <f>(FullIndex[[#This Row],[Environment Score]]+FullIndex[[#This Row],[Social Score]])/2</f>
        <v>0.53430555555555559</v>
      </c>
    </row>
    <row r="9" spans="2:16" x14ac:dyDescent="0.4">
      <c r="B9" s="2" t="s">
        <v>9</v>
      </c>
      <c r="C9" s="1" t="s">
        <v>110</v>
      </c>
      <c r="D9" s="1" t="s">
        <v>106</v>
      </c>
      <c r="E9" s="40">
        <f>'Environment '!G114</f>
        <v>0.65</v>
      </c>
      <c r="F9" s="40">
        <f>'Environment '!L114</f>
        <v>0.4375</v>
      </c>
      <c r="G9" s="40">
        <f>'Environment '!Q114</f>
        <v>0.52249999999999996</v>
      </c>
      <c r="H9" s="42">
        <f>'Environment '!R114</f>
        <v>0.53666666666666663</v>
      </c>
      <c r="I9" s="41">
        <f>Social!G115</f>
        <v>0.46250000000000002</v>
      </c>
      <c r="J9" s="40">
        <f>Social!K115</f>
        <v>0</v>
      </c>
      <c r="K9" s="40">
        <f>Social!O115</f>
        <v>0.33333333333333331</v>
      </c>
      <c r="L9" s="42">
        <f>Social!P115</f>
        <v>0.26527777777777778</v>
      </c>
      <c r="M9" s="42">
        <f>(FullIndex[[#This Row],[Environment Score]]+FullIndex[[#This Row],[Social Score]])/2</f>
        <v>0.40097222222222217</v>
      </c>
    </row>
    <row r="10" spans="2:16" x14ac:dyDescent="0.4">
      <c r="B10" s="2" t="s">
        <v>10</v>
      </c>
      <c r="C10" s="1" t="s">
        <v>114</v>
      </c>
      <c r="D10" s="1" t="s">
        <v>115</v>
      </c>
      <c r="E10" s="40">
        <f>'Environment '!G115</f>
        <v>0.4</v>
      </c>
      <c r="F10" s="40">
        <f>'Environment '!L115</f>
        <v>0</v>
      </c>
      <c r="G10" s="40">
        <f>'Environment '!Q115</f>
        <v>0.15</v>
      </c>
      <c r="H10" s="42">
        <f>'Environment '!R115</f>
        <v>0.18333333333333335</v>
      </c>
      <c r="I10" s="41">
        <f>Social!G116</f>
        <v>0.42500000000000004</v>
      </c>
      <c r="J10" s="40">
        <f>Social!K116</f>
        <v>0</v>
      </c>
      <c r="K10" s="40">
        <f>Social!O116</f>
        <v>0.5</v>
      </c>
      <c r="L10" s="42">
        <f>Social!P116</f>
        <v>0.30833333333333335</v>
      </c>
      <c r="M10" s="42">
        <f>(FullIndex[[#This Row],[Environment Score]]+FullIndex[[#This Row],[Social Score]])/2</f>
        <v>0.24583333333333335</v>
      </c>
    </row>
    <row r="11" spans="2:16" x14ac:dyDescent="0.4">
      <c r="B11" s="2" t="s">
        <v>11</v>
      </c>
      <c r="C11" s="1" t="s">
        <v>119</v>
      </c>
      <c r="D11" s="1" t="s">
        <v>120</v>
      </c>
      <c r="E11" s="40">
        <f>'Environment '!G116</f>
        <v>0.625</v>
      </c>
      <c r="F11" s="40">
        <f>'Environment '!L116</f>
        <v>0.5</v>
      </c>
      <c r="G11" s="40">
        <f>'Environment '!Q116</f>
        <v>0.59250000000000003</v>
      </c>
      <c r="H11" s="42">
        <f>'Environment '!R116</f>
        <v>0.57250000000000001</v>
      </c>
      <c r="I11" s="41">
        <f>Social!G117</f>
        <v>0.65</v>
      </c>
      <c r="J11" s="40">
        <f>Social!K117</f>
        <v>0.33333333333333331</v>
      </c>
      <c r="K11" s="40">
        <f>Social!O117</f>
        <v>0.33333333333333331</v>
      </c>
      <c r="L11" s="42">
        <f>Social!P117</f>
        <v>0.43888888888888888</v>
      </c>
      <c r="M11" s="42">
        <f>(FullIndex[[#This Row],[Environment Score]]+FullIndex[[#This Row],[Social Score]])/2</f>
        <v>0.50569444444444445</v>
      </c>
    </row>
    <row r="12" spans="2:16" x14ac:dyDescent="0.4">
      <c r="B12" s="2" t="s">
        <v>12</v>
      </c>
      <c r="C12" s="1" t="s">
        <v>124</v>
      </c>
      <c r="D12" s="1" t="s">
        <v>125</v>
      </c>
      <c r="E12" s="40">
        <f>'Environment '!G117</f>
        <v>1</v>
      </c>
      <c r="F12" s="40">
        <f>'Environment '!L117</f>
        <v>0.75</v>
      </c>
      <c r="G12" s="40">
        <f>'Environment '!Q117</f>
        <v>0.47499999999999998</v>
      </c>
      <c r="H12" s="42">
        <f>'Environment '!R117</f>
        <v>0.7416666666666667</v>
      </c>
      <c r="I12" s="41">
        <f>Social!G118</f>
        <v>0.58750000000000002</v>
      </c>
      <c r="J12" s="40">
        <f>Social!K118</f>
        <v>1</v>
      </c>
      <c r="K12" s="40">
        <f>Social!O118</f>
        <v>0.66666666666666663</v>
      </c>
      <c r="L12" s="42">
        <f>Social!P118</f>
        <v>0.75138888888888877</v>
      </c>
      <c r="M12" s="42">
        <f>(FullIndex[[#This Row],[Environment Score]]+FullIndex[[#This Row],[Social Score]])/2</f>
        <v>0.74652777777777768</v>
      </c>
    </row>
    <row r="13" spans="2:16" x14ac:dyDescent="0.4">
      <c r="B13" s="2" t="s">
        <v>13</v>
      </c>
      <c r="C13" s="1" t="s">
        <v>129</v>
      </c>
      <c r="D13" s="1" t="s">
        <v>130</v>
      </c>
      <c r="E13" s="40">
        <f>'Environment '!G118</f>
        <v>0.4375</v>
      </c>
      <c r="F13" s="40">
        <f>'Environment '!L118</f>
        <v>0</v>
      </c>
      <c r="G13" s="40">
        <f>'Environment '!Q118</f>
        <v>0.32</v>
      </c>
      <c r="H13" s="42">
        <f>'Environment '!R118</f>
        <v>0.2525</v>
      </c>
      <c r="I13" s="41">
        <f>Social!G119</f>
        <v>0.6875</v>
      </c>
      <c r="J13" s="40">
        <f>Social!K119</f>
        <v>0</v>
      </c>
      <c r="K13" s="40">
        <f>Social!O119</f>
        <v>1</v>
      </c>
      <c r="L13" s="42">
        <f>Social!P119</f>
        <v>0.5625</v>
      </c>
      <c r="M13" s="42">
        <f>(FullIndex[[#This Row],[Environment Score]]+FullIndex[[#This Row],[Social Score]])/2</f>
        <v>0.40749999999999997</v>
      </c>
    </row>
    <row r="14" spans="2:16" x14ac:dyDescent="0.4">
      <c r="B14" s="2" t="s">
        <v>14</v>
      </c>
      <c r="C14" s="1" t="s">
        <v>134</v>
      </c>
      <c r="D14" s="1" t="s">
        <v>135</v>
      </c>
      <c r="E14" s="40">
        <f>'Environment '!G119</f>
        <v>0.6875</v>
      </c>
      <c r="F14" s="40">
        <f>'Environment '!L119</f>
        <v>0.375</v>
      </c>
      <c r="G14" s="40">
        <f>'Environment '!Q119</f>
        <v>0.22750000000000001</v>
      </c>
      <c r="H14" s="42">
        <f>'Environment '!R119</f>
        <v>0.43</v>
      </c>
      <c r="I14" s="41">
        <f>Social!G120</f>
        <v>0.625</v>
      </c>
      <c r="J14" s="40">
        <f>Social!K120</f>
        <v>0</v>
      </c>
      <c r="K14" s="40">
        <f>Social!O120</f>
        <v>1</v>
      </c>
      <c r="L14" s="42">
        <f>Social!P120</f>
        <v>0.54166666666666663</v>
      </c>
      <c r="M14" s="42">
        <f>(FullIndex[[#This Row],[Environment Score]]+FullIndex[[#This Row],[Social Score]])/2</f>
        <v>0.48583333333333334</v>
      </c>
    </row>
    <row r="15" spans="2:16" x14ac:dyDescent="0.4">
      <c r="B15" s="2" t="s">
        <v>139</v>
      </c>
      <c r="C15" s="1" t="s">
        <v>140</v>
      </c>
      <c r="D15" s="1" t="s">
        <v>141</v>
      </c>
      <c r="E15" s="40">
        <f>'Environment '!G120</f>
        <v>0.375</v>
      </c>
      <c r="F15" s="40">
        <f>'Environment '!L120</f>
        <v>0.1875</v>
      </c>
      <c r="G15" s="40">
        <f>'Environment '!Q120</f>
        <v>0.20500000000000002</v>
      </c>
      <c r="H15" s="42">
        <f>'Environment '!R120</f>
        <v>0.25583333333333336</v>
      </c>
      <c r="I15" s="41">
        <f>Social!G121</f>
        <v>0.625</v>
      </c>
      <c r="J15" s="40">
        <f>Social!K121</f>
        <v>0</v>
      </c>
      <c r="K15" s="40">
        <f>Social!O121</f>
        <v>0.5</v>
      </c>
      <c r="L15" s="42">
        <f>Social!P121</f>
        <v>0.375</v>
      </c>
      <c r="M15" s="42">
        <f>(FullIndex[[#This Row],[Environment Score]]+FullIndex[[#This Row],[Social Score]])/2</f>
        <v>0.31541666666666668</v>
      </c>
    </row>
    <row r="16" spans="2:16" x14ac:dyDescent="0.4">
      <c r="B16" s="2" t="s">
        <v>15</v>
      </c>
      <c r="C16" s="1" t="s">
        <v>735</v>
      </c>
      <c r="D16" s="1" t="s">
        <v>141</v>
      </c>
      <c r="E16" s="40">
        <f>'Environment '!G121</f>
        <v>0.95</v>
      </c>
      <c r="F16" s="40">
        <f>'Environment '!L121</f>
        <v>0</v>
      </c>
      <c r="G16" s="40">
        <f>'Environment '!Q121</f>
        <v>0.39</v>
      </c>
      <c r="H16" s="42">
        <f>'Environment '!R121</f>
        <v>0.4466666666666666</v>
      </c>
      <c r="I16" s="41">
        <f>Social!G122</f>
        <v>0.52500000000000002</v>
      </c>
      <c r="J16" s="40">
        <f>Social!K122</f>
        <v>0.33333333333333331</v>
      </c>
      <c r="K16" s="40">
        <f>Social!O122</f>
        <v>0.66666666666666663</v>
      </c>
      <c r="L16" s="42">
        <f>Social!P122</f>
        <v>0.5083333333333333</v>
      </c>
      <c r="M16" s="42">
        <f>(FullIndex[[#This Row],[Environment Score]]+FullIndex[[#This Row],[Social Score]])/2</f>
        <v>0.47749999999999992</v>
      </c>
    </row>
    <row r="17" spans="2:13" x14ac:dyDescent="0.4">
      <c r="B17" s="2" t="s">
        <v>16</v>
      </c>
      <c r="C17" s="1" t="s">
        <v>149</v>
      </c>
      <c r="D17" s="1" t="s">
        <v>150</v>
      </c>
      <c r="E17" s="40">
        <f>'Environment '!G122</f>
        <v>0.625</v>
      </c>
      <c r="F17" s="40">
        <f>'Environment '!L122</f>
        <v>1</v>
      </c>
      <c r="G17" s="40">
        <f>'Environment '!Q122</f>
        <v>0.67749999999999999</v>
      </c>
      <c r="H17" s="42">
        <f>'Environment '!R122</f>
        <v>0.76750000000000007</v>
      </c>
      <c r="I17" s="41">
        <f>Social!G123</f>
        <v>0.625</v>
      </c>
      <c r="J17" s="40">
        <f>Social!K123</f>
        <v>0.33333333333333331</v>
      </c>
      <c r="K17" s="40">
        <f>Social!O123</f>
        <v>1</v>
      </c>
      <c r="L17" s="42">
        <f>Social!P123</f>
        <v>0.65277777777777779</v>
      </c>
      <c r="M17" s="42">
        <f>(FullIndex[[#This Row],[Environment Score]]+FullIndex[[#This Row],[Social Score]])/2</f>
        <v>0.71013888888888888</v>
      </c>
    </row>
    <row r="18" spans="2:13" x14ac:dyDescent="0.4">
      <c r="B18" s="2" t="s">
        <v>17</v>
      </c>
      <c r="C18" s="1" t="s">
        <v>154</v>
      </c>
      <c r="D18" s="1" t="s">
        <v>155</v>
      </c>
      <c r="E18" s="40">
        <f>'Environment '!G123</f>
        <v>0.4375</v>
      </c>
      <c r="F18" s="40">
        <f>'Environment '!L123</f>
        <v>0</v>
      </c>
      <c r="G18" s="40">
        <f>'Environment '!Q123</f>
        <v>0.375</v>
      </c>
      <c r="H18" s="42">
        <f>'Environment '!R123</f>
        <v>0.27083333333333331</v>
      </c>
      <c r="I18" s="41">
        <f>Social!G124</f>
        <v>0.58750000000000002</v>
      </c>
      <c r="J18" s="40">
        <f>Social!K124</f>
        <v>0</v>
      </c>
      <c r="K18" s="40">
        <f>Social!O124</f>
        <v>0.66666666666666663</v>
      </c>
      <c r="L18" s="42">
        <f>Social!P124</f>
        <v>0.41805555555555557</v>
      </c>
      <c r="M18" s="42">
        <f>(FullIndex[[#This Row],[Environment Score]]+FullIndex[[#This Row],[Social Score]])/2</f>
        <v>0.34444444444444444</v>
      </c>
    </row>
    <row r="19" spans="2:13" x14ac:dyDescent="0.4">
      <c r="B19" s="2" t="s">
        <v>18</v>
      </c>
      <c r="C19" s="1" t="s">
        <v>159</v>
      </c>
      <c r="D19" s="1" t="s">
        <v>91</v>
      </c>
      <c r="E19" s="40">
        <f>'Environment '!G124</f>
        <v>0.25</v>
      </c>
      <c r="F19" s="40">
        <f>'Environment '!L124</f>
        <v>0</v>
      </c>
      <c r="G19" s="40">
        <f>'Environment '!Q124</f>
        <v>6.5000000000000002E-2</v>
      </c>
      <c r="H19" s="42">
        <f>'Environment '!R124</f>
        <v>0.105</v>
      </c>
      <c r="I19" s="41">
        <f>Social!G125</f>
        <v>0.625</v>
      </c>
      <c r="J19" s="40">
        <f>Social!K125</f>
        <v>0</v>
      </c>
      <c r="K19" s="40">
        <f>Social!O125</f>
        <v>1</v>
      </c>
      <c r="L19" s="42">
        <f>Social!P125</f>
        <v>0.54166666666666663</v>
      </c>
      <c r="M19" s="42">
        <f>(FullIndex[[#This Row],[Environment Score]]+FullIndex[[#This Row],[Social Score]])/2</f>
        <v>0.32333333333333331</v>
      </c>
    </row>
    <row r="20" spans="2:13" x14ac:dyDescent="0.4">
      <c r="B20" s="2" t="s">
        <v>163</v>
      </c>
      <c r="C20" s="1" t="s">
        <v>164</v>
      </c>
      <c r="D20" s="1" t="s">
        <v>155</v>
      </c>
      <c r="E20" s="40">
        <f>'Environment '!G125</f>
        <v>0.375</v>
      </c>
      <c r="F20" s="40">
        <f>'Environment '!L125</f>
        <v>0.125</v>
      </c>
      <c r="G20" s="40">
        <f>'Environment '!Q125</f>
        <v>0.2</v>
      </c>
      <c r="H20" s="42">
        <f>'Environment '!R125</f>
        <v>0.23333333333333331</v>
      </c>
      <c r="I20" s="41">
        <f>Social!G126</f>
        <v>0.52500000000000002</v>
      </c>
      <c r="J20" s="40">
        <f>Social!K126</f>
        <v>0</v>
      </c>
      <c r="K20" s="40">
        <f>Social!O126</f>
        <v>0.66666666666666663</v>
      </c>
      <c r="L20" s="42">
        <f>Social!P126</f>
        <v>0.3972222222222222</v>
      </c>
      <c r="M20" s="42">
        <f>(FullIndex[[#This Row],[Environment Score]]+FullIndex[[#This Row],[Social Score]])/2</f>
        <v>0.31527777777777777</v>
      </c>
    </row>
    <row r="21" spans="2:13" x14ac:dyDescent="0.4">
      <c r="B21" s="2" t="s">
        <v>19</v>
      </c>
      <c r="C21" s="1" t="s">
        <v>19</v>
      </c>
      <c r="D21" s="1" t="s">
        <v>168</v>
      </c>
      <c r="E21" s="40">
        <f>'Environment '!G126</f>
        <v>0.875</v>
      </c>
      <c r="F21" s="40">
        <f>'Environment '!L126</f>
        <v>0.5</v>
      </c>
      <c r="G21" s="40">
        <f>'Environment '!Q126</f>
        <v>0.3725</v>
      </c>
      <c r="H21" s="42">
        <f>'Environment '!R126</f>
        <v>0.58250000000000002</v>
      </c>
      <c r="I21" s="41">
        <f>Social!G127</f>
        <v>0.46250000000000002</v>
      </c>
      <c r="J21" s="40">
        <f>Social!K127</f>
        <v>0</v>
      </c>
      <c r="K21" s="40">
        <f>Social!O127</f>
        <v>0.66666666666666663</v>
      </c>
      <c r="L21" s="42">
        <f>Social!P127</f>
        <v>0.37638888888888888</v>
      </c>
      <c r="M21" s="42">
        <f>(FullIndex[[#This Row],[Environment Score]]+FullIndex[[#This Row],[Social Score]])/2</f>
        <v>0.47944444444444445</v>
      </c>
    </row>
    <row r="22" spans="2:13" x14ac:dyDescent="0.4">
      <c r="B22" s="2" t="s">
        <v>20</v>
      </c>
      <c r="C22" s="1" t="s">
        <v>172</v>
      </c>
      <c r="D22" s="1" t="s">
        <v>173</v>
      </c>
      <c r="E22" s="40">
        <f>'Environment '!G127</f>
        <v>0.77500000000000002</v>
      </c>
      <c r="F22" s="40">
        <f>'Environment '!L127</f>
        <v>0.375</v>
      </c>
      <c r="G22" s="40">
        <f>'Environment '!Q127</f>
        <v>0.51</v>
      </c>
      <c r="H22" s="42">
        <f>'Environment '!R127</f>
        <v>0.55333333333333334</v>
      </c>
      <c r="I22" s="41">
        <f>Social!G128</f>
        <v>0.6875</v>
      </c>
      <c r="J22" s="40">
        <f>Social!K128</f>
        <v>0.66666666666666663</v>
      </c>
      <c r="K22" s="40">
        <f>Social!O128</f>
        <v>0.66666666666666663</v>
      </c>
      <c r="L22" s="42">
        <f>Social!P128</f>
        <v>0.67361111111111105</v>
      </c>
      <c r="M22" s="42">
        <f>(FullIndex[[#This Row],[Environment Score]]+FullIndex[[#This Row],[Social Score]])/2</f>
        <v>0.6134722222222222</v>
      </c>
    </row>
    <row r="23" spans="2:13" x14ac:dyDescent="0.4">
      <c r="B23" s="2" t="s">
        <v>21</v>
      </c>
      <c r="C23" s="1" t="s">
        <v>177</v>
      </c>
      <c r="D23" s="1" t="s">
        <v>178</v>
      </c>
      <c r="E23" s="40">
        <f>'Environment '!G128</f>
        <v>0.375</v>
      </c>
      <c r="F23" s="40">
        <f>'Environment '!L128</f>
        <v>0.1875</v>
      </c>
      <c r="G23" s="40">
        <f>'Environment '!Q128</f>
        <v>6.7500000000000004E-2</v>
      </c>
      <c r="H23" s="42">
        <f>'Environment '!R128</f>
        <v>0.21</v>
      </c>
      <c r="I23" s="41">
        <f>Social!G129</f>
        <v>0.6875</v>
      </c>
      <c r="J23" s="40">
        <f>Social!K129</f>
        <v>0.33333333333333331</v>
      </c>
      <c r="K23" s="40">
        <f>Social!O129</f>
        <v>0.83333333333333337</v>
      </c>
      <c r="L23" s="42">
        <f>Social!P129</f>
        <v>0.61805555555555547</v>
      </c>
      <c r="M23" s="42">
        <f>(FullIndex[[#This Row],[Environment Score]]+FullIndex[[#This Row],[Social Score]])/2</f>
        <v>0.41402777777777772</v>
      </c>
    </row>
    <row r="24" spans="2:13" x14ac:dyDescent="0.4">
      <c r="B24" s="2" t="s">
        <v>22</v>
      </c>
      <c r="C24" s="1" t="s">
        <v>182</v>
      </c>
      <c r="D24" s="1" t="s">
        <v>96</v>
      </c>
      <c r="E24" s="40">
        <f>'Environment '!G129</f>
        <v>0.875</v>
      </c>
      <c r="F24" s="40">
        <f>'Environment '!L129</f>
        <v>0.6875</v>
      </c>
      <c r="G24" s="40">
        <f>'Environment '!Q129</f>
        <v>0.8075</v>
      </c>
      <c r="H24" s="42">
        <f>'Environment '!R129</f>
        <v>0.79</v>
      </c>
      <c r="I24" s="41">
        <f>Social!G130</f>
        <v>0.46250000000000002</v>
      </c>
      <c r="J24" s="40">
        <f>Social!K130</f>
        <v>0</v>
      </c>
      <c r="K24" s="40">
        <f>Social!O130</f>
        <v>0.83333333333333337</v>
      </c>
      <c r="L24" s="42">
        <f>Social!P130</f>
        <v>0.43194444444444446</v>
      </c>
      <c r="M24" s="42">
        <f>(FullIndex[[#This Row],[Environment Score]]+FullIndex[[#This Row],[Social Score]])/2</f>
        <v>0.61097222222222225</v>
      </c>
    </row>
    <row r="25" spans="2:13" x14ac:dyDescent="0.4">
      <c r="B25" s="2" t="s">
        <v>23</v>
      </c>
      <c r="C25" s="1" t="s">
        <v>186</v>
      </c>
      <c r="D25" s="1" t="s">
        <v>115</v>
      </c>
      <c r="E25" s="40">
        <f>'Environment '!G130</f>
        <v>0.77500000000000002</v>
      </c>
      <c r="F25" s="40">
        <f>'Environment '!L130</f>
        <v>0</v>
      </c>
      <c r="G25" s="40">
        <f>'Environment '!Q130</f>
        <v>0.19</v>
      </c>
      <c r="H25" s="42">
        <f>'Environment '!R130</f>
        <v>0.32166666666666671</v>
      </c>
      <c r="I25" s="41">
        <f>Social!G131</f>
        <v>0.58750000000000002</v>
      </c>
      <c r="J25" s="40">
        <f>Social!K131</f>
        <v>0</v>
      </c>
      <c r="K25" s="40">
        <f>Social!O131</f>
        <v>0.33333333333333331</v>
      </c>
      <c r="L25" s="42">
        <f>Social!P131</f>
        <v>0.30694444444444446</v>
      </c>
      <c r="M25" s="42">
        <f>(FullIndex[[#This Row],[Environment Score]]+FullIndex[[#This Row],[Social Score]])/2</f>
        <v>0.31430555555555562</v>
      </c>
    </row>
    <row r="26" spans="2:13" x14ac:dyDescent="0.4">
      <c r="B26" s="2" t="s">
        <v>190</v>
      </c>
      <c r="C26" s="1" t="s">
        <v>191</v>
      </c>
      <c r="D26" s="1" t="s">
        <v>192</v>
      </c>
      <c r="E26" s="40">
        <f>'Environment '!G131</f>
        <v>0.6875</v>
      </c>
      <c r="F26" s="40">
        <f>'Environment '!L131</f>
        <v>0.25</v>
      </c>
      <c r="G26" s="40">
        <f>'Environment '!Q131</f>
        <v>0.27</v>
      </c>
      <c r="H26" s="42">
        <f>'Environment '!R131</f>
        <v>0.40250000000000002</v>
      </c>
      <c r="I26" s="41">
        <f>Social!G132</f>
        <v>0.6875</v>
      </c>
      <c r="J26" s="40">
        <f>Social!K132</f>
        <v>1</v>
      </c>
      <c r="K26" s="40">
        <f>Social!O132</f>
        <v>1</v>
      </c>
      <c r="L26" s="42">
        <f>Social!P132</f>
        <v>0.89583333333333337</v>
      </c>
      <c r="M26" s="42">
        <f>(FullIndex[[#This Row],[Environment Score]]+FullIndex[[#This Row],[Social Score]])/2</f>
        <v>0.64916666666666667</v>
      </c>
    </row>
    <row r="27" spans="2:13" x14ac:dyDescent="0.4">
      <c r="B27" s="2" t="s">
        <v>24</v>
      </c>
      <c r="C27" s="1" t="s">
        <v>196</v>
      </c>
      <c r="D27" s="1" t="s">
        <v>197</v>
      </c>
      <c r="E27" s="40">
        <f>'Environment '!G132</f>
        <v>0.9375</v>
      </c>
      <c r="F27" s="40">
        <f>'Environment '!L132</f>
        <v>0.5</v>
      </c>
      <c r="G27" s="40">
        <f>'Environment '!Q132</f>
        <v>0.64</v>
      </c>
      <c r="H27" s="42">
        <f>'Environment '!R132</f>
        <v>0.6925</v>
      </c>
      <c r="I27" s="41">
        <f>Social!G133</f>
        <v>0.625</v>
      </c>
      <c r="J27" s="40">
        <f>Social!K133</f>
        <v>0.33333333333333331</v>
      </c>
      <c r="K27" s="40">
        <f>Social!O133</f>
        <v>0.83333333333333337</v>
      </c>
      <c r="L27" s="42">
        <f>Social!P133</f>
        <v>0.59722222222222221</v>
      </c>
      <c r="M27" s="42">
        <f>(FullIndex[[#This Row],[Environment Score]]+FullIndex[[#This Row],[Social Score]])/2</f>
        <v>0.64486111111111111</v>
      </c>
    </row>
    <row r="28" spans="2:13" x14ac:dyDescent="0.4">
      <c r="B28" s="2" t="s">
        <v>201</v>
      </c>
      <c r="C28" s="1" t="s">
        <v>202</v>
      </c>
      <c r="D28" s="1" t="s">
        <v>203</v>
      </c>
      <c r="E28" s="40">
        <f>'Environment '!G133</f>
        <v>0.9375</v>
      </c>
      <c r="F28" s="40">
        <f>'Environment '!L133</f>
        <v>0.6875</v>
      </c>
      <c r="G28" s="40">
        <f>'Environment '!Q133</f>
        <v>0.66</v>
      </c>
      <c r="H28" s="42">
        <f>'Environment '!R133</f>
        <v>0.76166666666666671</v>
      </c>
      <c r="I28" s="41">
        <f>Social!G134</f>
        <v>0.42500000000000004</v>
      </c>
      <c r="J28" s="40">
        <f>Social!K134</f>
        <v>0.33333333333333331</v>
      </c>
      <c r="K28" s="40">
        <f>Social!O134</f>
        <v>0.5</v>
      </c>
      <c r="L28" s="42">
        <f>Social!P134</f>
        <v>0.41944444444444445</v>
      </c>
      <c r="M28" s="42">
        <f>(FullIndex[[#This Row],[Environment Score]]+FullIndex[[#This Row],[Social Score]])/2</f>
        <v>0.59055555555555561</v>
      </c>
    </row>
    <row r="29" spans="2:13" x14ac:dyDescent="0.4">
      <c r="B29" s="2" t="s">
        <v>25</v>
      </c>
      <c r="C29" s="1" t="s">
        <v>207</v>
      </c>
      <c r="D29" s="1" t="s">
        <v>115</v>
      </c>
      <c r="E29" s="40">
        <f>'Environment '!G134</f>
        <v>0.77500000000000002</v>
      </c>
      <c r="F29" s="40">
        <f>'Environment '!L134</f>
        <v>0.25</v>
      </c>
      <c r="G29" s="40">
        <f>'Environment '!Q134</f>
        <v>0.22999999999999998</v>
      </c>
      <c r="H29" s="42">
        <f>'Environment '!R134</f>
        <v>0.41833333333333328</v>
      </c>
      <c r="I29" s="41">
        <f>Social!G135</f>
        <v>0.625</v>
      </c>
      <c r="J29" s="40">
        <f>Social!K135</f>
        <v>0</v>
      </c>
      <c r="K29" s="40">
        <f>Social!O135</f>
        <v>0.83333333333333337</v>
      </c>
      <c r="L29" s="42">
        <f>Social!P135</f>
        <v>0.48611111111111116</v>
      </c>
      <c r="M29" s="42">
        <f>(FullIndex[[#This Row],[Environment Score]]+FullIndex[[#This Row],[Social Score]])/2</f>
        <v>0.45222222222222219</v>
      </c>
    </row>
    <row r="30" spans="2:13" x14ac:dyDescent="0.4">
      <c r="B30" s="2" t="s">
        <v>211</v>
      </c>
      <c r="C30" s="1" t="s">
        <v>212</v>
      </c>
      <c r="D30" s="1" t="s">
        <v>213</v>
      </c>
      <c r="E30" s="40">
        <f>'Environment '!G135</f>
        <v>0.375</v>
      </c>
      <c r="F30" s="40">
        <f>'Environment '!L135</f>
        <v>0</v>
      </c>
      <c r="G30" s="40">
        <f>'Environment '!Q135</f>
        <v>0.27500000000000002</v>
      </c>
      <c r="H30" s="42">
        <f>'Environment '!R135</f>
        <v>0.21666666666666667</v>
      </c>
      <c r="I30" s="41">
        <f>Social!G136</f>
        <v>0.58750000000000002</v>
      </c>
      <c r="J30" s="40">
        <f>Social!K136</f>
        <v>0.33333333333333331</v>
      </c>
      <c r="K30" s="40">
        <f>Social!O136</f>
        <v>0.5</v>
      </c>
      <c r="L30" s="42">
        <f>Social!P136</f>
        <v>0.47361111111111115</v>
      </c>
      <c r="M30" s="42">
        <f>(FullIndex[[#This Row],[Environment Score]]+FullIndex[[#This Row],[Social Score]])/2</f>
        <v>0.34513888888888888</v>
      </c>
    </row>
    <row r="31" spans="2:13" x14ac:dyDescent="0.4">
      <c r="B31" s="2" t="s">
        <v>217</v>
      </c>
      <c r="C31" s="1" t="s">
        <v>218</v>
      </c>
      <c r="D31" s="1" t="s">
        <v>219</v>
      </c>
      <c r="E31" s="40">
        <f>'Environment '!G136</f>
        <v>0.52500000000000002</v>
      </c>
      <c r="F31" s="40">
        <f>'Environment '!L136</f>
        <v>0.25</v>
      </c>
      <c r="G31" s="40">
        <f>'Environment '!Q136</f>
        <v>0.38750000000000001</v>
      </c>
      <c r="H31" s="42">
        <f>'Environment '!R136</f>
        <v>0.38750000000000001</v>
      </c>
      <c r="I31" s="41">
        <f>Social!G137</f>
        <v>0.46250000000000002</v>
      </c>
      <c r="J31" s="40">
        <f>Social!K137</f>
        <v>0</v>
      </c>
      <c r="K31" s="40">
        <f>Social!O137</f>
        <v>0.83333333333333337</v>
      </c>
      <c r="L31" s="42">
        <f>Social!P137</f>
        <v>0.43194444444444446</v>
      </c>
      <c r="M31" s="42">
        <f>(FullIndex[[#This Row],[Environment Score]]+FullIndex[[#This Row],[Social Score]])/2</f>
        <v>0.40972222222222221</v>
      </c>
    </row>
    <row r="32" spans="2:13" x14ac:dyDescent="0.4">
      <c r="B32" s="2" t="s">
        <v>223</v>
      </c>
      <c r="C32" s="1" t="s">
        <v>26</v>
      </c>
      <c r="D32" s="1" t="s">
        <v>115</v>
      </c>
      <c r="E32" s="40">
        <f>'Environment '!G137</f>
        <v>0.65</v>
      </c>
      <c r="F32" s="40">
        <f>'Environment '!L137</f>
        <v>0</v>
      </c>
      <c r="G32" s="40">
        <f>'Environment '!Q137</f>
        <v>0.47749999999999998</v>
      </c>
      <c r="H32" s="42">
        <f>'Environment '!R137</f>
        <v>0.3758333333333333</v>
      </c>
      <c r="I32" s="41">
        <f>Social!G138</f>
        <v>0.46250000000000002</v>
      </c>
      <c r="J32" s="40">
        <f>Social!K138</f>
        <v>0</v>
      </c>
      <c r="K32" s="40">
        <f>Social!O138</f>
        <v>0.33333333333333331</v>
      </c>
      <c r="L32" s="42">
        <f>Social!P138</f>
        <v>0.26527777777777778</v>
      </c>
      <c r="M32" s="42">
        <f>(FullIndex[[#This Row],[Environment Score]]+FullIndex[[#This Row],[Social Score]])/2</f>
        <v>0.32055555555555554</v>
      </c>
    </row>
    <row r="33" spans="2:13" x14ac:dyDescent="0.4">
      <c r="B33" s="2" t="s">
        <v>27</v>
      </c>
      <c r="C33" s="1" t="s">
        <v>227</v>
      </c>
      <c r="D33" s="1" t="s">
        <v>203</v>
      </c>
      <c r="E33" s="40">
        <f>'Environment '!G138</f>
        <v>0.82499999999999996</v>
      </c>
      <c r="F33" s="40">
        <f>'Environment '!L138</f>
        <v>0.1875</v>
      </c>
      <c r="G33" s="40">
        <f>'Environment '!Q138</f>
        <v>0.55249999999999999</v>
      </c>
      <c r="H33" s="42">
        <f>'Environment '!R138</f>
        <v>0.52166666666666661</v>
      </c>
      <c r="I33" s="41">
        <f>Social!G139</f>
        <v>0.75</v>
      </c>
      <c r="J33" s="40">
        <f>Social!K139</f>
        <v>0.33333333333333331</v>
      </c>
      <c r="K33" s="40">
        <f>Social!O139</f>
        <v>0.66666666666666663</v>
      </c>
      <c r="L33" s="42">
        <f>Social!P139</f>
        <v>0.58333333333333337</v>
      </c>
      <c r="M33" s="42">
        <f>(FullIndex[[#This Row],[Environment Score]]+FullIndex[[#This Row],[Social Score]])/2</f>
        <v>0.55249999999999999</v>
      </c>
    </row>
    <row r="34" spans="2:13" x14ac:dyDescent="0.4">
      <c r="B34" s="2" t="s">
        <v>28</v>
      </c>
      <c r="C34" s="1" t="s">
        <v>231</v>
      </c>
      <c r="D34" s="1" t="s">
        <v>232</v>
      </c>
      <c r="E34" s="40">
        <f>'Environment '!G139</f>
        <v>0.375</v>
      </c>
      <c r="F34" s="40">
        <f>'Environment '!L139</f>
        <v>0</v>
      </c>
      <c r="G34" s="40">
        <f>'Environment '!Q139</f>
        <v>0.11</v>
      </c>
      <c r="H34" s="42">
        <f>'Environment '!R139</f>
        <v>0.16166666666666665</v>
      </c>
      <c r="I34" s="41">
        <f>Social!G140</f>
        <v>0.42500000000000004</v>
      </c>
      <c r="J34" s="40">
        <f>Social!K140</f>
        <v>0</v>
      </c>
      <c r="K34" s="40">
        <f>Social!O140</f>
        <v>0.66666666666666663</v>
      </c>
      <c r="L34" s="42">
        <f>Social!P140</f>
        <v>0.36388888888888893</v>
      </c>
      <c r="M34" s="42">
        <f>(FullIndex[[#This Row],[Environment Score]]+FullIndex[[#This Row],[Social Score]])/2</f>
        <v>0.26277777777777778</v>
      </c>
    </row>
    <row r="35" spans="2:13" x14ac:dyDescent="0.4">
      <c r="B35" s="2" t="s">
        <v>236</v>
      </c>
      <c r="C35" s="1" t="s">
        <v>237</v>
      </c>
      <c r="D35" s="1" t="s">
        <v>238</v>
      </c>
      <c r="E35" s="40">
        <f>'Environment '!G140</f>
        <v>0.4</v>
      </c>
      <c r="F35" s="40">
        <f>'Environment '!L140</f>
        <v>0.25</v>
      </c>
      <c r="G35" s="40">
        <f>'Environment '!Q140</f>
        <v>0.52</v>
      </c>
      <c r="H35" s="42">
        <f>'Environment '!R140</f>
        <v>0.38999999999999996</v>
      </c>
      <c r="I35" s="41">
        <f>Social!G141</f>
        <v>0.42500000000000004</v>
      </c>
      <c r="J35" s="40">
        <f>Social!K141</f>
        <v>0</v>
      </c>
      <c r="K35" s="40">
        <f>Social!O141</f>
        <v>0.66666666666666663</v>
      </c>
      <c r="L35" s="42">
        <f>Social!P141</f>
        <v>0.36388888888888893</v>
      </c>
      <c r="M35" s="42">
        <f>(FullIndex[[#This Row],[Environment Score]]+FullIndex[[#This Row],[Social Score]])/2</f>
        <v>0.37694444444444442</v>
      </c>
    </row>
    <row r="36" spans="2:13" x14ac:dyDescent="0.4">
      <c r="B36" s="2" t="s">
        <v>29</v>
      </c>
      <c r="C36" s="1" t="s">
        <v>242</v>
      </c>
      <c r="D36" s="1" t="s">
        <v>243</v>
      </c>
      <c r="E36" s="40">
        <f>'Environment '!G141</f>
        <v>0.4375</v>
      </c>
      <c r="F36" s="40">
        <f>'Environment '!L141</f>
        <v>0</v>
      </c>
      <c r="G36" s="40">
        <f>'Environment '!Q141</f>
        <v>0.38</v>
      </c>
      <c r="H36" s="42">
        <f>'Environment '!R141</f>
        <v>0.27250000000000002</v>
      </c>
      <c r="I36" s="41">
        <f>Social!G142</f>
        <v>0.46250000000000002</v>
      </c>
      <c r="J36" s="40">
        <f>Social!K142</f>
        <v>0</v>
      </c>
      <c r="K36" s="40">
        <f>Social!O142</f>
        <v>0.83333333333333337</v>
      </c>
      <c r="L36" s="42">
        <f>Social!P142</f>
        <v>0.43194444444444446</v>
      </c>
      <c r="M36" s="42">
        <f>(FullIndex[[#This Row],[Environment Score]]+FullIndex[[#This Row],[Social Score]])/2</f>
        <v>0.35222222222222221</v>
      </c>
    </row>
    <row r="37" spans="2:13" x14ac:dyDescent="0.4">
      <c r="B37" s="2" t="s">
        <v>694</v>
      </c>
      <c r="C37" s="1" t="s">
        <v>695</v>
      </c>
      <c r="D37" s="1" t="s">
        <v>696</v>
      </c>
      <c r="E37" s="40">
        <f>'Environment '!G142</f>
        <v>0.625</v>
      </c>
      <c r="F37" s="40">
        <f>'Environment '!L142</f>
        <v>0.5</v>
      </c>
      <c r="G37" s="40">
        <f>'Environment '!Q142</f>
        <v>0.51249999999999996</v>
      </c>
      <c r="H37" s="42">
        <f>'Environment '!R142</f>
        <v>0.54583333333333328</v>
      </c>
      <c r="I37" s="41">
        <f>Social!G143</f>
        <v>0.625</v>
      </c>
      <c r="J37" s="40">
        <f>Social!K143</f>
        <v>0</v>
      </c>
      <c r="K37" s="40">
        <f>Social!O143</f>
        <v>0.5</v>
      </c>
      <c r="L37" s="42">
        <f>Social!P143</f>
        <v>0.375</v>
      </c>
      <c r="M37" s="42">
        <f>(FullIndex[[#This Row],[Environment Score]]+FullIndex[[#This Row],[Social Score]])/2</f>
        <v>0.46041666666666664</v>
      </c>
    </row>
    <row r="38" spans="2:13" x14ac:dyDescent="0.4">
      <c r="B38" s="2" t="s">
        <v>30</v>
      </c>
      <c r="C38" s="1" t="s">
        <v>247</v>
      </c>
      <c r="D38" s="1" t="s">
        <v>115</v>
      </c>
      <c r="E38" s="40">
        <f>'Environment '!G143</f>
        <v>0.375</v>
      </c>
      <c r="F38" s="40">
        <f>'Environment '!L143</f>
        <v>0</v>
      </c>
      <c r="G38" s="40">
        <f>'Environment '!Q143</f>
        <v>0.39500000000000002</v>
      </c>
      <c r="H38" s="42">
        <f>'Environment '!R143</f>
        <v>0.25666666666666665</v>
      </c>
      <c r="I38" s="41">
        <f>Social!G144</f>
        <v>0.625</v>
      </c>
      <c r="J38" s="40">
        <f>Social!K144</f>
        <v>0</v>
      </c>
      <c r="K38" s="40">
        <f>Social!O144</f>
        <v>0.66666666666666663</v>
      </c>
      <c r="L38" s="42">
        <f>Social!P144</f>
        <v>0.43055555555555552</v>
      </c>
      <c r="M38" s="42">
        <f>(FullIndex[[#This Row],[Environment Score]]+FullIndex[[#This Row],[Social Score]])/2</f>
        <v>0.34361111111111109</v>
      </c>
    </row>
    <row r="39" spans="2:13" x14ac:dyDescent="0.4">
      <c r="B39" s="2" t="s">
        <v>31</v>
      </c>
      <c r="C39" s="1" t="s">
        <v>251</v>
      </c>
      <c r="D39" s="1" t="s">
        <v>252</v>
      </c>
      <c r="E39" s="40">
        <f>'Environment '!G144</f>
        <v>0.125</v>
      </c>
      <c r="F39" s="40">
        <f>'Environment '!L144</f>
        <v>0</v>
      </c>
      <c r="G39" s="40">
        <f>'Environment '!Q144</f>
        <v>0</v>
      </c>
      <c r="H39" s="42">
        <f>'Environment '!R144</f>
        <v>4.1666666666666664E-2</v>
      </c>
      <c r="I39" s="41">
        <f>Social!G145</f>
        <v>0.5</v>
      </c>
      <c r="J39" s="40">
        <f>Social!K145</f>
        <v>0</v>
      </c>
      <c r="K39" s="40">
        <f>Social!O145</f>
        <v>0.5</v>
      </c>
      <c r="L39" s="42">
        <f>Social!P145</f>
        <v>0.33333333333333331</v>
      </c>
      <c r="M39" s="42">
        <f>(FullIndex[[#This Row],[Environment Score]]+FullIndex[[#This Row],[Social Score]])/2</f>
        <v>0.1875</v>
      </c>
    </row>
    <row r="40" spans="2:13" x14ac:dyDescent="0.4">
      <c r="B40" s="2" t="s">
        <v>32</v>
      </c>
      <c r="C40" s="1" t="s">
        <v>256</v>
      </c>
      <c r="D40" s="1" t="s">
        <v>106</v>
      </c>
      <c r="E40" s="40">
        <f>'Environment '!G145</f>
        <v>0.25</v>
      </c>
      <c r="F40" s="40">
        <f>'Environment '!L145</f>
        <v>0</v>
      </c>
      <c r="G40" s="40">
        <f>'Environment '!Q145</f>
        <v>0.23</v>
      </c>
      <c r="H40" s="42">
        <f>'Environment '!R145</f>
        <v>0.16</v>
      </c>
      <c r="I40" s="41">
        <f>Social!G146</f>
        <v>0.36249999999999999</v>
      </c>
      <c r="J40" s="40">
        <f>Social!K146</f>
        <v>0.33333333333333331</v>
      </c>
      <c r="K40" s="40">
        <f>Social!O146</f>
        <v>0.33333333333333331</v>
      </c>
      <c r="L40" s="42">
        <f>Social!P146</f>
        <v>0.3430555555555555</v>
      </c>
      <c r="M40" s="42">
        <f>(FullIndex[[#This Row],[Environment Score]]+FullIndex[[#This Row],[Social Score]])/2</f>
        <v>0.25152777777777774</v>
      </c>
    </row>
    <row r="41" spans="2:13" x14ac:dyDescent="0.4">
      <c r="B41" s="2" t="s">
        <v>33</v>
      </c>
      <c r="C41" s="1" t="s">
        <v>260</v>
      </c>
      <c r="D41" s="1" t="s">
        <v>261</v>
      </c>
      <c r="E41" s="40">
        <f>'Environment '!G146</f>
        <v>0.125</v>
      </c>
      <c r="F41" s="40">
        <f>'Environment '!L146</f>
        <v>0</v>
      </c>
      <c r="G41" s="40">
        <f>'Environment '!Q146</f>
        <v>2.5000000000000001E-3</v>
      </c>
      <c r="H41" s="42">
        <f>'Environment '!R146</f>
        <v>4.2500000000000003E-2</v>
      </c>
      <c r="I41" s="41">
        <f>Social!G147</f>
        <v>0.27500000000000002</v>
      </c>
      <c r="J41" s="40">
        <f>Social!K147</f>
        <v>0</v>
      </c>
      <c r="K41" s="40">
        <f>Social!O147</f>
        <v>0.5</v>
      </c>
      <c r="L41" s="42">
        <f>Social!P147</f>
        <v>0.25833333333333336</v>
      </c>
      <c r="M41" s="42">
        <f>(FullIndex[[#This Row],[Environment Score]]+FullIndex[[#This Row],[Social Score]])/2</f>
        <v>0.15041666666666667</v>
      </c>
    </row>
    <row r="42" spans="2:13" x14ac:dyDescent="0.4">
      <c r="B42" s="2" t="s">
        <v>34</v>
      </c>
      <c r="C42" s="1" t="s">
        <v>265</v>
      </c>
      <c r="D42" s="1" t="s">
        <v>106</v>
      </c>
      <c r="E42" s="40">
        <f>'Environment '!G147</f>
        <v>0.57499999999999996</v>
      </c>
      <c r="F42" s="40">
        <f>'Environment '!L147</f>
        <v>0.1875</v>
      </c>
      <c r="G42" s="40">
        <f>'Environment '!Q147</f>
        <v>0.55000000000000004</v>
      </c>
      <c r="H42" s="42">
        <f>'Environment '!R147</f>
        <v>0.4375</v>
      </c>
      <c r="I42" s="41">
        <f>Social!G148</f>
        <v>0.52500000000000002</v>
      </c>
      <c r="J42" s="40">
        <f>Social!K148</f>
        <v>0</v>
      </c>
      <c r="K42" s="40">
        <f>Social!O148</f>
        <v>0.5</v>
      </c>
      <c r="L42" s="42">
        <f>Social!P148</f>
        <v>0.34166666666666662</v>
      </c>
      <c r="M42" s="42">
        <f>(FullIndex[[#This Row],[Environment Score]]+FullIndex[[#This Row],[Social Score]])/2</f>
        <v>0.38958333333333328</v>
      </c>
    </row>
    <row r="43" spans="2:13" x14ac:dyDescent="0.4">
      <c r="B43" s="2" t="s">
        <v>269</v>
      </c>
      <c r="C43" s="1" t="s">
        <v>269</v>
      </c>
      <c r="D43" s="1" t="s">
        <v>125</v>
      </c>
      <c r="E43" s="40">
        <f>'Environment '!G148</f>
        <v>0.625</v>
      </c>
      <c r="F43" s="40">
        <f>'Environment '!L148</f>
        <v>0.5</v>
      </c>
      <c r="G43" s="40">
        <f>'Environment '!Q148</f>
        <v>0.76</v>
      </c>
      <c r="H43" s="42">
        <f>'Environment '!R148</f>
        <v>0.6283333333333333</v>
      </c>
      <c r="I43" s="41">
        <f>Social!G149</f>
        <v>0.58750000000000002</v>
      </c>
      <c r="J43" s="40">
        <f>Social!K149</f>
        <v>0.66666666666666663</v>
      </c>
      <c r="K43" s="40">
        <f>Social!O149</f>
        <v>0.66666666666666663</v>
      </c>
      <c r="L43" s="42">
        <f>Social!P149</f>
        <v>0.64027777777777783</v>
      </c>
      <c r="M43" s="42">
        <f>(FullIndex[[#This Row],[Environment Score]]+FullIndex[[#This Row],[Social Score]])/2</f>
        <v>0.63430555555555557</v>
      </c>
    </row>
    <row r="44" spans="2:13" x14ac:dyDescent="0.4">
      <c r="B44" s="2" t="s">
        <v>35</v>
      </c>
      <c r="C44" s="1" t="s">
        <v>273</v>
      </c>
      <c r="D44" s="1" t="s">
        <v>125</v>
      </c>
      <c r="E44" s="40">
        <f>'Environment '!G149</f>
        <v>0.58750000000000002</v>
      </c>
      <c r="F44" s="40">
        <f>'Environment '!L149</f>
        <v>0.4375</v>
      </c>
      <c r="G44" s="40">
        <f>'Environment '!Q149</f>
        <v>0.71499999999999997</v>
      </c>
      <c r="H44" s="42">
        <f>'Environment '!R149</f>
        <v>0.57999999999999996</v>
      </c>
      <c r="I44" s="41">
        <f>Social!G150</f>
        <v>0.58750000000000002</v>
      </c>
      <c r="J44" s="40">
        <f>Social!K150</f>
        <v>0</v>
      </c>
      <c r="K44" s="40">
        <f>Social!O150</f>
        <v>1</v>
      </c>
      <c r="L44" s="42">
        <f>Social!P150</f>
        <v>0.52916666666666667</v>
      </c>
      <c r="M44" s="42">
        <f>(FullIndex[[#This Row],[Environment Score]]+FullIndex[[#This Row],[Social Score]])/2</f>
        <v>0.55458333333333332</v>
      </c>
    </row>
    <row r="45" spans="2:13" x14ac:dyDescent="0.4">
      <c r="B45" s="2" t="s">
        <v>36</v>
      </c>
      <c r="C45" s="1" t="s">
        <v>277</v>
      </c>
      <c r="D45" s="1" t="s">
        <v>278</v>
      </c>
      <c r="E45" s="40">
        <f>'Environment '!G150</f>
        <v>0.4375</v>
      </c>
      <c r="F45" s="40">
        <f>'Environment '!L150</f>
        <v>0</v>
      </c>
      <c r="G45" s="40">
        <f>'Environment '!Q150</f>
        <v>0.35749999999999998</v>
      </c>
      <c r="H45" s="42">
        <f>'Environment '!R150</f>
        <v>0.26499999999999996</v>
      </c>
      <c r="I45" s="41">
        <f>Social!G151</f>
        <v>0.6875</v>
      </c>
      <c r="J45" s="40">
        <f>Social!K151</f>
        <v>0</v>
      </c>
      <c r="K45" s="40">
        <f>Social!O151</f>
        <v>0.83333333333333337</v>
      </c>
      <c r="L45" s="42">
        <f>Social!P151</f>
        <v>0.50694444444444453</v>
      </c>
      <c r="M45" s="42">
        <f>(FullIndex[[#This Row],[Environment Score]]+FullIndex[[#This Row],[Social Score]])/2</f>
        <v>0.38597222222222227</v>
      </c>
    </row>
    <row r="46" spans="2:13" x14ac:dyDescent="0.4">
      <c r="B46" s="2" t="s">
        <v>282</v>
      </c>
      <c r="C46" s="1" t="s">
        <v>734</v>
      </c>
      <c r="D46" s="1" t="s">
        <v>86</v>
      </c>
      <c r="E46" s="40">
        <f>'Environment '!G151</f>
        <v>0.375</v>
      </c>
      <c r="F46" s="40">
        <f>'Environment '!L151</f>
        <v>0</v>
      </c>
      <c r="G46" s="40">
        <f>'Environment '!Q151</f>
        <v>2.5000000000000001E-3</v>
      </c>
      <c r="H46" s="42">
        <f>'Environment '!R151</f>
        <v>0.12583333333333332</v>
      </c>
      <c r="I46" s="41">
        <f>Social!G152</f>
        <v>0.5</v>
      </c>
      <c r="J46" s="40">
        <f>Social!K152</f>
        <v>0.33333333333333331</v>
      </c>
      <c r="K46" s="40">
        <f>Social!O152</f>
        <v>0.5</v>
      </c>
      <c r="L46" s="42">
        <f>Social!P152</f>
        <v>0.44444444444444442</v>
      </c>
      <c r="M46" s="42">
        <f>(FullIndex[[#This Row],[Environment Score]]+FullIndex[[#This Row],[Social Score]])/2</f>
        <v>0.28513888888888889</v>
      </c>
    </row>
    <row r="47" spans="2:13" x14ac:dyDescent="0.4">
      <c r="B47" s="2" t="s">
        <v>287</v>
      </c>
      <c r="C47" s="1" t="s">
        <v>288</v>
      </c>
      <c r="D47" s="1" t="s">
        <v>125</v>
      </c>
      <c r="E47" s="40">
        <f>'Environment '!G152</f>
        <v>0.25</v>
      </c>
      <c r="F47" s="40">
        <f>'Environment '!L152</f>
        <v>0</v>
      </c>
      <c r="G47" s="40">
        <f>'Environment '!Q152</f>
        <v>0.40749999999999997</v>
      </c>
      <c r="H47" s="42">
        <f>'Environment '!R152</f>
        <v>0.21916666666666665</v>
      </c>
      <c r="I47" s="41">
        <f>Social!G153</f>
        <v>0.52500000000000002</v>
      </c>
      <c r="J47" s="40">
        <f>Social!K153</f>
        <v>0</v>
      </c>
      <c r="K47" s="40">
        <f>Social!O153</f>
        <v>0.33333333333333331</v>
      </c>
      <c r="L47" s="42">
        <f>Social!P153</f>
        <v>0.28611111111111115</v>
      </c>
      <c r="M47" s="42">
        <f>(FullIndex[[#This Row],[Environment Score]]+FullIndex[[#This Row],[Social Score]])/2</f>
        <v>0.25263888888888891</v>
      </c>
    </row>
    <row r="48" spans="2:13" x14ac:dyDescent="0.4">
      <c r="B48" s="2" t="s">
        <v>37</v>
      </c>
      <c r="C48" s="1" t="s">
        <v>292</v>
      </c>
      <c r="D48" s="1" t="s">
        <v>293</v>
      </c>
      <c r="E48" s="40">
        <f>'Environment '!G153</f>
        <v>0.125</v>
      </c>
      <c r="F48" s="40">
        <f>'Environment '!L153</f>
        <v>0</v>
      </c>
      <c r="G48" s="40">
        <f>'Environment '!Q153</f>
        <v>0.1525</v>
      </c>
      <c r="H48" s="42">
        <f>'Environment '!R153</f>
        <v>9.2499999999999985E-2</v>
      </c>
      <c r="I48" s="41">
        <f>Social!G154</f>
        <v>0.6875</v>
      </c>
      <c r="J48" s="40">
        <f>Social!K154</f>
        <v>0</v>
      </c>
      <c r="K48" s="40">
        <f>Social!O154</f>
        <v>1</v>
      </c>
      <c r="L48" s="42">
        <f>Social!P154</f>
        <v>0.5625</v>
      </c>
      <c r="M48" s="42">
        <f>(FullIndex[[#This Row],[Environment Score]]+FullIndex[[#This Row],[Social Score]])/2</f>
        <v>0.32750000000000001</v>
      </c>
    </row>
    <row r="49" spans="2:13" x14ac:dyDescent="0.4">
      <c r="B49" s="2" t="s">
        <v>297</v>
      </c>
      <c r="C49" s="1" t="s">
        <v>298</v>
      </c>
      <c r="D49" s="1" t="s">
        <v>299</v>
      </c>
      <c r="E49" s="40">
        <f>'Environment '!G154</f>
        <v>0.375</v>
      </c>
      <c r="F49" s="40">
        <f>'Environment '!L154</f>
        <v>0</v>
      </c>
      <c r="G49" s="40">
        <f>'Environment '!Q154</f>
        <v>0.17499999999999999</v>
      </c>
      <c r="H49" s="42">
        <f>'Environment '!R154</f>
        <v>0.18333333333333335</v>
      </c>
      <c r="I49" s="41">
        <f>Social!G155</f>
        <v>0.58750000000000002</v>
      </c>
      <c r="J49" s="40">
        <f>Social!K155</f>
        <v>0</v>
      </c>
      <c r="K49" s="40">
        <f>Social!O155</f>
        <v>0.33333333333333331</v>
      </c>
      <c r="L49" s="42">
        <f>Social!P155</f>
        <v>0.30694444444444446</v>
      </c>
      <c r="M49" s="42">
        <f>(FullIndex[[#This Row],[Environment Score]]+FullIndex[[#This Row],[Social Score]])/2</f>
        <v>0.24513888888888891</v>
      </c>
    </row>
    <row r="50" spans="2:13" x14ac:dyDescent="0.4">
      <c r="B50" s="2" t="s">
        <v>38</v>
      </c>
      <c r="C50" s="1" t="s">
        <v>303</v>
      </c>
      <c r="D50" s="1" t="s">
        <v>150</v>
      </c>
      <c r="E50" s="40">
        <f>'Environment '!G155</f>
        <v>0.4</v>
      </c>
      <c r="F50" s="40">
        <f>'Environment '!L155</f>
        <v>0.5</v>
      </c>
      <c r="G50" s="40">
        <f>'Environment '!Q155</f>
        <v>0.45250000000000001</v>
      </c>
      <c r="H50" s="42">
        <f>'Environment '!R155</f>
        <v>0.45083333333333336</v>
      </c>
      <c r="I50" s="41">
        <f>Social!G156</f>
        <v>0.65</v>
      </c>
      <c r="J50" s="40">
        <f>Social!K156</f>
        <v>1</v>
      </c>
      <c r="K50" s="40">
        <f>Social!O156</f>
        <v>0.5</v>
      </c>
      <c r="L50" s="42">
        <f>Social!P156</f>
        <v>0.71666666666666667</v>
      </c>
      <c r="M50" s="42">
        <f>(FullIndex[[#This Row],[Environment Score]]+FullIndex[[#This Row],[Social Score]])/2</f>
        <v>0.58374999999999999</v>
      </c>
    </row>
    <row r="51" spans="2:13" x14ac:dyDescent="0.4">
      <c r="B51" s="2" t="s">
        <v>307</v>
      </c>
      <c r="C51" s="1" t="s">
        <v>39</v>
      </c>
      <c r="D51" s="1" t="s">
        <v>308</v>
      </c>
      <c r="E51" s="40">
        <f>'Environment '!G156</f>
        <v>0.4375</v>
      </c>
      <c r="F51" s="40">
        <f>'Environment '!L156</f>
        <v>0</v>
      </c>
      <c r="G51" s="40">
        <f>'Environment '!Q156</f>
        <v>0.1525</v>
      </c>
      <c r="H51" s="42">
        <f>'Environment '!R156</f>
        <v>0.19666666666666666</v>
      </c>
      <c r="I51" s="41">
        <f>Social!G157</f>
        <v>0.52500000000000002</v>
      </c>
      <c r="J51" s="40">
        <f>Social!K157</f>
        <v>0</v>
      </c>
      <c r="K51" s="40">
        <f>Social!O157</f>
        <v>0.66666666666666663</v>
      </c>
      <c r="L51" s="42">
        <f>Social!P157</f>
        <v>0.3972222222222222</v>
      </c>
      <c r="M51" s="42">
        <f>(FullIndex[[#This Row],[Environment Score]]+FullIndex[[#This Row],[Social Score]])/2</f>
        <v>0.29694444444444446</v>
      </c>
    </row>
    <row r="52" spans="2:13" x14ac:dyDescent="0.4">
      <c r="B52" s="2" t="s">
        <v>40</v>
      </c>
      <c r="C52" s="1" t="s">
        <v>312</v>
      </c>
      <c r="D52" s="1" t="s">
        <v>173</v>
      </c>
      <c r="E52" s="40">
        <f>'Environment '!G157</f>
        <v>0.52500000000000002</v>
      </c>
      <c r="F52" s="40">
        <f>'Environment '!L157</f>
        <v>0.25</v>
      </c>
      <c r="G52" s="40">
        <f>'Environment '!Q157</f>
        <v>0.72</v>
      </c>
      <c r="H52" s="42">
        <f>'Environment '!R157</f>
        <v>0.49833333333333335</v>
      </c>
      <c r="I52" s="41">
        <f>Social!G158</f>
        <v>0.46250000000000002</v>
      </c>
      <c r="J52" s="40">
        <f>Social!K158</f>
        <v>0.33333333333333331</v>
      </c>
      <c r="K52" s="40">
        <f>Social!O158</f>
        <v>0.83333333333333337</v>
      </c>
      <c r="L52" s="42">
        <f>Social!P158</f>
        <v>0.54305555555555562</v>
      </c>
      <c r="M52" s="42">
        <f>(FullIndex[[#This Row],[Environment Score]]+FullIndex[[#This Row],[Social Score]])/2</f>
        <v>0.52069444444444446</v>
      </c>
    </row>
    <row r="53" spans="2:13" x14ac:dyDescent="0.4">
      <c r="B53" s="2" t="s">
        <v>41</v>
      </c>
      <c r="C53" s="1" t="s">
        <v>316</v>
      </c>
      <c r="D53" s="1" t="s">
        <v>130</v>
      </c>
      <c r="E53" s="40">
        <f>'Environment '!G158</f>
        <v>0.375</v>
      </c>
      <c r="F53" s="40">
        <f>'Environment '!L158</f>
        <v>0</v>
      </c>
      <c r="G53" s="40">
        <f>'Environment '!Q158</f>
        <v>0.26500000000000001</v>
      </c>
      <c r="H53" s="42">
        <f>'Environment '!R158</f>
        <v>0.21333333333333335</v>
      </c>
      <c r="I53" s="41">
        <f>Social!G159</f>
        <v>0.52500000000000002</v>
      </c>
      <c r="J53" s="40">
        <f>Social!K159</f>
        <v>0</v>
      </c>
      <c r="K53" s="40">
        <f>Social!O159</f>
        <v>0.83333333333333337</v>
      </c>
      <c r="L53" s="42">
        <f>Social!P159</f>
        <v>0.45277777777777778</v>
      </c>
      <c r="M53" s="42">
        <f>(FullIndex[[#This Row],[Environment Score]]+FullIndex[[#This Row],[Social Score]])/2</f>
        <v>0.33305555555555555</v>
      </c>
    </row>
    <row r="54" spans="2:13" x14ac:dyDescent="0.4">
      <c r="B54" s="2" t="s">
        <v>320</v>
      </c>
      <c r="C54" s="1" t="s">
        <v>321</v>
      </c>
      <c r="D54" s="1" t="s">
        <v>243</v>
      </c>
      <c r="E54" s="40">
        <f>'Environment '!G159</f>
        <v>0.82499999999999996</v>
      </c>
      <c r="F54" s="40">
        <f>'Environment '!L159</f>
        <v>0</v>
      </c>
      <c r="G54" s="40">
        <f>'Environment '!Q159</f>
        <v>0.41249999999999998</v>
      </c>
      <c r="H54" s="42">
        <f>'Environment '!R159</f>
        <v>0.41249999999999992</v>
      </c>
      <c r="I54" s="41">
        <f>Social!G160</f>
        <v>0.625</v>
      </c>
      <c r="J54" s="40">
        <f>Social!K160</f>
        <v>0.33333333333333331</v>
      </c>
      <c r="K54" s="40">
        <f>Social!O160</f>
        <v>0.66666666666666663</v>
      </c>
      <c r="L54" s="42">
        <f>Social!P160</f>
        <v>0.54166666666666663</v>
      </c>
      <c r="M54" s="42">
        <f>(FullIndex[[#This Row],[Environment Score]]+FullIndex[[#This Row],[Social Score]])/2</f>
        <v>0.4770833333333333</v>
      </c>
    </row>
    <row r="55" spans="2:13" x14ac:dyDescent="0.4">
      <c r="B55" s="2" t="s">
        <v>42</v>
      </c>
      <c r="C55" s="1" t="s">
        <v>325</v>
      </c>
      <c r="D55" s="1" t="s">
        <v>86</v>
      </c>
      <c r="E55" s="40">
        <f>'Environment '!G160</f>
        <v>0.125</v>
      </c>
      <c r="F55" s="40">
        <f>'Environment '!L160</f>
        <v>0.125</v>
      </c>
      <c r="G55" s="40">
        <f>'Environment '!Q160</f>
        <v>0.4975</v>
      </c>
      <c r="H55" s="42">
        <f>'Environment '!R160</f>
        <v>0.24916666666666668</v>
      </c>
      <c r="I55" s="41">
        <f>Social!G161</f>
        <v>0.5</v>
      </c>
      <c r="J55" s="40">
        <f>Social!K161</f>
        <v>0</v>
      </c>
      <c r="K55" s="40">
        <f>Social!O161</f>
        <v>1</v>
      </c>
      <c r="L55" s="42">
        <f>Social!P161</f>
        <v>0.5</v>
      </c>
      <c r="M55" s="42">
        <f>(FullIndex[[#This Row],[Environment Score]]+FullIndex[[#This Row],[Social Score]])/2</f>
        <v>0.37458333333333332</v>
      </c>
    </row>
    <row r="56" spans="2:13" x14ac:dyDescent="0.4">
      <c r="B56" s="2" t="s">
        <v>329</v>
      </c>
      <c r="C56" s="1" t="s">
        <v>330</v>
      </c>
      <c r="D56" s="1" t="s">
        <v>115</v>
      </c>
      <c r="E56" s="40">
        <f>'Environment '!G161</f>
        <v>0.65</v>
      </c>
      <c r="F56" s="40">
        <f>'Environment '!L161</f>
        <v>0</v>
      </c>
      <c r="G56" s="40">
        <f>'Environment '!Q161</f>
        <v>0.91500000000000004</v>
      </c>
      <c r="H56" s="42">
        <f>'Environment '!R161</f>
        <v>0.52166666666666661</v>
      </c>
      <c r="I56" s="41">
        <f>Social!G162</f>
        <v>0.46250000000000002</v>
      </c>
      <c r="J56" s="40">
        <f>Social!K162</f>
        <v>0</v>
      </c>
      <c r="K56" s="40">
        <f>Social!O162</f>
        <v>0.33333333333333331</v>
      </c>
      <c r="L56" s="42">
        <f>Social!P162</f>
        <v>0.26527777777777778</v>
      </c>
      <c r="M56" s="42">
        <f>(FullIndex[[#This Row],[Environment Score]]+FullIndex[[#This Row],[Social Score]])/2</f>
        <v>0.39347222222222222</v>
      </c>
    </row>
    <row r="57" spans="2:13" x14ac:dyDescent="0.4">
      <c r="B57" s="2" t="s">
        <v>334</v>
      </c>
      <c r="C57" s="1" t="s">
        <v>335</v>
      </c>
      <c r="D57" s="1" t="s">
        <v>243</v>
      </c>
      <c r="E57" s="40">
        <f>'Environment '!G162</f>
        <v>0.375</v>
      </c>
      <c r="F57" s="40">
        <f>'Environment '!L162</f>
        <v>0.3125</v>
      </c>
      <c r="G57" s="40">
        <f>'Environment '!Q162</f>
        <v>0.2</v>
      </c>
      <c r="H57" s="42">
        <f>'Environment '!R162</f>
        <v>0.29583333333333334</v>
      </c>
      <c r="I57" s="41">
        <f>Social!G163</f>
        <v>0.6875</v>
      </c>
      <c r="J57" s="40">
        <f>Social!K163</f>
        <v>0</v>
      </c>
      <c r="K57" s="40">
        <f>Social!O163</f>
        <v>0.5</v>
      </c>
      <c r="L57" s="42">
        <f>Social!P163</f>
        <v>0.39583333333333331</v>
      </c>
      <c r="M57" s="42">
        <f>(FullIndex[[#This Row],[Environment Score]]+FullIndex[[#This Row],[Social Score]])/2</f>
        <v>0.34583333333333333</v>
      </c>
    </row>
    <row r="58" spans="2:13" x14ac:dyDescent="0.4">
      <c r="B58" s="2" t="s">
        <v>43</v>
      </c>
      <c r="C58" s="1" t="s">
        <v>339</v>
      </c>
      <c r="D58" s="1" t="s">
        <v>340</v>
      </c>
      <c r="E58" s="40">
        <f>'Environment '!G163</f>
        <v>0.4</v>
      </c>
      <c r="F58" s="40">
        <f>'Environment '!L163</f>
        <v>0.1875</v>
      </c>
      <c r="G58" s="40">
        <f>'Environment '!Q163</f>
        <v>0.2525</v>
      </c>
      <c r="H58" s="42">
        <f>'Environment '!R163</f>
        <v>0.28000000000000003</v>
      </c>
      <c r="I58" s="41">
        <f>Social!G164</f>
        <v>0.36249999999999999</v>
      </c>
      <c r="J58" s="40">
        <f>Social!K164</f>
        <v>0.33333333333333331</v>
      </c>
      <c r="K58" s="40">
        <f>Social!O164</f>
        <v>0.66666666666666663</v>
      </c>
      <c r="L58" s="42">
        <f>Social!P164</f>
        <v>0.45416666666666661</v>
      </c>
      <c r="M58" s="42">
        <f>(FullIndex[[#This Row],[Environment Score]]+FullIndex[[#This Row],[Social Score]])/2</f>
        <v>0.36708333333333332</v>
      </c>
    </row>
    <row r="59" spans="2:13" x14ac:dyDescent="0.4">
      <c r="B59" s="2" t="s">
        <v>44</v>
      </c>
      <c r="C59" s="1" t="s">
        <v>344</v>
      </c>
      <c r="D59" s="1" t="s">
        <v>345</v>
      </c>
      <c r="E59" s="40">
        <f>'Environment '!G164</f>
        <v>0.82499999999999996</v>
      </c>
      <c r="F59" s="40">
        <f>'Environment '!L164</f>
        <v>0.1875</v>
      </c>
      <c r="G59" s="40">
        <f>'Environment '!Q164</f>
        <v>0.62250000000000005</v>
      </c>
      <c r="H59" s="42">
        <f>'Environment '!R164</f>
        <v>0.54500000000000004</v>
      </c>
      <c r="I59" s="41">
        <f>Social!G165</f>
        <v>0.46250000000000002</v>
      </c>
      <c r="J59" s="40">
        <f>Social!K165</f>
        <v>0.66666666666666663</v>
      </c>
      <c r="K59" s="40">
        <f>Social!O165</f>
        <v>0.83333333333333337</v>
      </c>
      <c r="L59" s="42">
        <f>Social!P165</f>
        <v>0.65416666666666667</v>
      </c>
      <c r="M59" s="42">
        <f>(FullIndex[[#This Row],[Environment Score]]+FullIndex[[#This Row],[Social Score]])/2</f>
        <v>0.59958333333333336</v>
      </c>
    </row>
    <row r="60" spans="2:13" x14ac:dyDescent="0.4">
      <c r="B60" s="2" t="s">
        <v>45</v>
      </c>
      <c r="C60" s="1" t="s">
        <v>349</v>
      </c>
      <c r="D60" s="1" t="s">
        <v>350</v>
      </c>
      <c r="E60" s="40">
        <f>'Environment '!G165</f>
        <v>0.625</v>
      </c>
      <c r="F60" s="40">
        <f>'Environment '!L165</f>
        <v>0.1875</v>
      </c>
      <c r="G60" s="40">
        <f>'Environment '!Q165</f>
        <v>0.27</v>
      </c>
      <c r="H60" s="42">
        <f>'Environment '!R165</f>
        <v>0.36083333333333334</v>
      </c>
      <c r="I60" s="41">
        <f>Social!G166</f>
        <v>0.625</v>
      </c>
      <c r="J60" s="40">
        <f>Social!K166</f>
        <v>0</v>
      </c>
      <c r="K60" s="40">
        <f>Social!O166</f>
        <v>1</v>
      </c>
      <c r="L60" s="42">
        <f>Social!P166</f>
        <v>0.54166666666666663</v>
      </c>
      <c r="M60" s="42">
        <f>(FullIndex[[#This Row],[Environment Score]]+FullIndex[[#This Row],[Social Score]])/2</f>
        <v>0.45124999999999998</v>
      </c>
    </row>
    <row r="61" spans="2:13" x14ac:dyDescent="0.4">
      <c r="B61" s="2" t="s">
        <v>46</v>
      </c>
      <c r="C61" s="1" t="s">
        <v>354</v>
      </c>
      <c r="D61" s="1" t="s">
        <v>135</v>
      </c>
      <c r="E61" s="40">
        <f>'Environment '!G166</f>
        <v>0.125</v>
      </c>
      <c r="F61" s="40">
        <f>'Environment '!L166</f>
        <v>0.1875</v>
      </c>
      <c r="G61" s="40">
        <f>'Environment '!Q166</f>
        <v>0.4325</v>
      </c>
      <c r="H61" s="42">
        <f>'Environment '!R166</f>
        <v>0.24833333333333332</v>
      </c>
      <c r="I61" s="41">
        <f>Social!G167</f>
        <v>0.625</v>
      </c>
      <c r="J61" s="40">
        <f>Social!K167</f>
        <v>0.33333333333333331</v>
      </c>
      <c r="K61" s="40">
        <f>Social!O167</f>
        <v>1</v>
      </c>
      <c r="L61" s="42">
        <f>Social!P167</f>
        <v>0.65277777777777779</v>
      </c>
      <c r="M61" s="42">
        <f>(FullIndex[[#This Row],[Environment Score]]+FullIndex[[#This Row],[Social Score]])/2</f>
        <v>0.45055555555555554</v>
      </c>
    </row>
    <row r="62" spans="2:13" x14ac:dyDescent="0.4">
      <c r="B62" s="2" t="s">
        <v>47</v>
      </c>
      <c r="C62" s="1" t="s">
        <v>358</v>
      </c>
      <c r="D62" s="1" t="s">
        <v>150</v>
      </c>
      <c r="E62" s="40">
        <f>'Environment '!G167</f>
        <v>0.82499999999999996</v>
      </c>
      <c r="F62" s="40">
        <f>'Environment '!L167</f>
        <v>0.6875</v>
      </c>
      <c r="G62" s="40">
        <f>'Environment '!Q167</f>
        <v>0.9375</v>
      </c>
      <c r="H62" s="42">
        <f>'Environment '!R167</f>
        <v>0.81666666666666676</v>
      </c>
      <c r="I62" s="41">
        <f>Social!G168</f>
        <v>0.6875</v>
      </c>
      <c r="J62" s="40">
        <f>Social!K168</f>
        <v>0.66666666666666663</v>
      </c>
      <c r="K62" s="40">
        <f>Social!O168</f>
        <v>1</v>
      </c>
      <c r="L62" s="42">
        <f>Social!P168</f>
        <v>0.78472222222222221</v>
      </c>
      <c r="M62" s="42">
        <f>(FullIndex[[#This Row],[Environment Score]]+FullIndex[[#This Row],[Social Score]])/2</f>
        <v>0.80069444444444449</v>
      </c>
    </row>
    <row r="63" spans="2:13" x14ac:dyDescent="0.4">
      <c r="B63" s="2" t="s">
        <v>362</v>
      </c>
      <c r="C63" s="1" t="s">
        <v>363</v>
      </c>
      <c r="D63" s="1" t="s">
        <v>350</v>
      </c>
      <c r="E63" s="40">
        <f>'Environment '!G168</f>
        <v>0.375</v>
      </c>
      <c r="F63" s="40">
        <f>'Environment '!L168</f>
        <v>0.125</v>
      </c>
      <c r="G63" s="40">
        <f>'Environment '!Q168</f>
        <v>0.42500000000000004</v>
      </c>
      <c r="H63" s="42">
        <f>'Environment '!R168</f>
        <v>0.30833333333333335</v>
      </c>
      <c r="I63" s="41">
        <f>Social!G169</f>
        <v>0.625</v>
      </c>
      <c r="J63" s="40">
        <f>Social!K169</f>
        <v>0</v>
      </c>
      <c r="K63" s="40">
        <f>Social!O169</f>
        <v>0.83333333333333337</v>
      </c>
      <c r="L63" s="42">
        <f>Social!P169</f>
        <v>0.48611111111111116</v>
      </c>
      <c r="M63" s="42">
        <f>(FullIndex[[#This Row],[Environment Score]]+FullIndex[[#This Row],[Social Score]])/2</f>
        <v>0.39722222222222225</v>
      </c>
    </row>
    <row r="64" spans="2:13" x14ac:dyDescent="0.4">
      <c r="B64" s="2" t="s">
        <v>367</v>
      </c>
      <c r="C64" s="1" t="s">
        <v>368</v>
      </c>
      <c r="D64" s="1" t="s">
        <v>86</v>
      </c>
      <c r="E64" s="40">
        <f>'Environment '!G169</f>
        <v>0.875</v>
      </c>
      <c r="F64" s="40">
        <f>'Environment '!L169</f>
        <v>0.6875</v>
      </c>
      <c r="G64" s="40">
        <f>'Environment '!Q169</f>
        <v>0.72250000000000003</v>
      </c>
      <c r="H64" s="42">
        <f>'Environment '!R169</f>
        <v>0.76166666666666671</v>
      </c>
      <c r="I64" s="41">
        <f>Social!G170</f>
        <v>0.5625</v>
      </c>
      <c r="J64" s="40">
        <f>Social!K170</f>
        <v>0</v>
      </c>
      <c r="K64" s="40">
        <f>Social!O170</f>
        <v>1</v>
      </c>
      <c r="L64" s="42">
        <f>Social!P170</f>
        <v>0.52083333333333337</v>
      </c>
      <c r="M64" s="42">
        <f>(FullIndex[[#This Row],[Environment Score]]+FullIndex[[#This Row],[Social Score]])/2</f>
        <v>0.6412500000000001</v>
      </c>
    </row>
    <row r="65" spans="2:13" x14ac:dyDescent="0.4">
      <c r="B65" s="2" t="s">
        <v>48</v>
      </c>
      <c r="C65" s="1" t="s">
        <v>372</v>
      </c>
      <c r="D65" s="1" t="s">
        <v>86</v>
      </c>
      <c r="E65" s="40">
        <f>'Environment '!G170</f>
        <v>0.125</v>
      </c>
      <c r="F65" s="40">
        <f>'Environment '!L170</f>
        <v>0.1875</v>
      </c>
      <c r="G65" s="40">
        <f>'Environment '!Q170</f>
        <v>0.3075</v>
      </c>
      <c r="H65" s="42">
        <f>'Environment '!R170</f>
        <v>0.20666666666666667</v>
      </c>
      <c r="I65" s="41">
        <f>Social!G171</f>
        <v>0.625</v>
      </c>
      <c r="J65" s="40">
        <f>Social!K171</f>
        <v>0.33333333333333331</v>
      </c>
      <c r="K65" s="40">
        <f>Social!O171</f>
        <v>0.5</v>
      </c>
      <c r="L65" s="42">
        <f>Social!P171</f>
        <v>0.4861111111111111</v>
      </c>
      <c r="M65" s="42">
        <f>(FullIndex[[#This Row],[Environment Score]]+FullIndex[[#This Row],[Social Score]])/2</f>
        <v>0.34638888888888886</v>
      </c>
    </row>
    <row r="66" spans="2:13" x14ac:dyDescent="0.4">
      <c r="B66" s="2" t="s">
        <v>49</v>
      </c>
      <c r="C66" s="1" t="s">
        <v>376</v>
      </c>
      <c r="D66" s="1" t="s">
        <v>377</v>
      </c>
      <c r="E66" s="40">
        <f>'Environment '!G171</f>
        <v>0.83750000000000002</v>
      </c>
      <c r="F66" s="40">
        <f>'Environment '!L171</f>
        <v>0.25</v>
      </c>
      <c r="G66" s="40">
        <f>'Environment '!Q171</f>
        <v>0.42249999999999999</v>
      </c>
      <c r="H66" s="42">
        <f>'Environment '!R171</f>
        <v>0.5033333333333333</v>
      </c>
      <c r="I66" s="41">
        <f>Social!G172</f>
        <v>0.65</v>
      </c>
      <c r="J66" s="40">
        <f>Social!K172</f>
        <v>0.33333333333333331</v>
      </c>
      <c r="K66" s="40">
        <f>Social!O172</f>
        <v>0.66666666666666663</v>
      </c>
      <c r="L66" s="42">
        <f>Social!P172</f>
        <v>0.54999999999999993</v>
      </c>
      <c r="M66" s="42">
        <f>(FullIndex[[#This Row],[Environment Score]]+FullIndex[[#This Row],[Social Score]])/2</f>
        <v>0.52666666666666662</v>
      </c>
    </row>
    <row r="67" spans="2:13" x14ac:dyDescent="0.4">
      <c r="B67" s="2" t="s">
        <v>50</v>
      </c>
      <c r="C67" s="1" t="s">
        <v>381</v>
      </c>
      <c r="D67" s="1" t="s">
        <v>141</v>
      </c>
      <c r="E67" s="40">
        <f>'Environment '!G172</f>
        <v>0.52500000000000002</v>
      </c>
      <c r="F67" s="40">
        <f>'Environment '!L172</f>
        <v>0</v>
      </c>
      <c r="G67" s="40">
        <f>'Environment '!Q172</f>
        <v>0.61499999999999999</v>
      </c>
      <c r="H67" s="42">
        <f>'Environment '!R172</f>
        <v>0.38000000000000006</v>
      </c>
      <c r="I67" s="41">
        <f>Social!G173</f>
        <v>0.42500000000000004</v>
      </c>
      <c r="J67" s="40">
        <f>Social!K173</f>
        <v>0</v>
      </c>
      <c r="K67" s="40">
        <f>Social!O173</f>
        <v>0.66666666666666663</v>
      </c>
      <c r="L67" s="42">
        <f>Social!P173</f>
        <v>0.36388888888888893</v>
      </c>
      <c r="M67" s="42">
        <f>(FullIndex[[#This Row],[Environment Score]]+FullIndex[[#This Row],[Social Score]])/2</f>
        <v>0.37194444444444452</v>
      </c>
    </row>
    <row r="68" spans="2:13" x14ac:dyDescent="0.4">
      <c r="B68" s="2" t="s">
        <v>51</v>
      </c>
      <c r="C68" s="1" t="s">
        <v>385</v>
      </c>
      <c r="D68" s="1" t="s">
        <v>386</v>
      </c>
      <c r="E68" s="40">
        <f>'Environment '!G173</f>
        <v>0.875</v>
      </c>
      <c r="F68" s="40">
        <f>'Environment '!L173</f>
        <v>0.5</v>
      </c>
      <c r="G68" s="40">
        <f>'Environment '!Q173</f>
        <v>0.84750000000000003</v>
      </c>
      <c r="H68" s="42">
        <f>'Environment '!R173</f>
        <v>0.74083333333333334</v>
      </c>
      <c r="I68" s="41">
        <f>Social!G174</f>
        <v>0.52500000000000002</v>
      </c>
      <c r="J68" s="40">
        <f>Social!K174</f>
        <v>0</v>
      </c>
      <c r="K68" s="40">
        <f>Social!O174</f>
        <v>0.5</v>
      </c>
      <c r="L68" s="42">
        <f>Social!P174</f>
        <v>0.34166666666666662</v>
      </c>
      <c r="M68" s="42">
        <f>(FullIndex[[#This Row],[Environment Score]]+FullIndex[[#This Row],[Social Score]])/2</f>
        <v>0.54125000000000001</v>
      </c>
    </row>
    <row r="69" spans="2:13" x14ac:dyDescent="0.4">
      <c r="B69" s="2" t="s">
        <v>52</v>
      </c>
      <c r="C69" s="1" t="s">
        <v>390</v>
      </c>
      <c r="D69" s="1" t="s">
        <v>197</v>
      </c>
      <c r="E69" s="40">
        <f>'Environment '!G174</f>
        <v>0.875</v>
      </c>
      <c r="F69" s="40">
        <f>'Environment '!L174</f>
        <v>0.75</v>
      </c>
      <c r="G69" s="40">
        <f>'Environment '!Q174</f>
        <v>0.59499999999999997</v>
      </c>
      <c r="H69" s="42">
        <f>'Environment '!R174</f>
        <v>0.73999999999999988</v>
      </c>
      <c r="I69" s="41">
        <f>Social!G175</f>
        <v>0.625</v>
      </c>
      <c r="J69" s="40">
        <f>Social!K175</f>
        <v>0.66666666666666663</v>
      </c>
      <c r="K69" s="40">
        <f>Social!O175</f>
        <v>0.66666666666666663</v>
      </c>
      <c r="L69" s="42">
        <f>Social!P175</f>
        <v>0.65277777777777768</v>
      </c>
      <c r="M69" s="42">
        <f>(FullIndex[[#This Row],[Environment Score]]+FullIndex[[#This Row],[Social Score]])/2</f>
        <v>0.69638888888888872</v>
      </c>
    </row>
    <row r="70" spans="2:13" x14ac:dyDescent="0.4">
      <c r="B70" s="2" t="s">
        <v>53</v>
      </c>
      <c r="C70" s="1" t="s">
        <v>394</v>
      </c>
      <c r="D70" s="1" t="s">
        <v>150</v>
      </c>
      <c r="E70" s="40">
        <f>'Environment '!G175</f>
        <v>0.375</v>
      </c>
      <c r="F70" s="40">
        <f>'Environment '!L175</f>
        <v>0.625</v>
      </c>
      <c r="G70" s="40">
        <f>'Environment '!Q175</f>
        <v>0.4975</v>
      </c>
      <c r="H70" s="42">
        <f>'Environment '!R175</f>
        <v>0.4991666666666667</v>
      </c>
      <c r="I70" s="41">
        <f>Social!G176</f>
        <v>0.75</v>
      </c>
      <c r="J70" s="40">
        <f>Social!K176</f>
        <v>0.73333333333333339</v>
      </c>
      <c r="K70" s="40">
        <f>Social!O176</f>
        <v>0.5</v>
      </c>
      <c r="L70" s="42">
        <f>Social!P176</f>
        <v>0.66111111111111109</v>
      </c>
      <c r="M70" s="42">
        <f>(FullIndex[[#This Row],[Environment Score]]+FullIndex[[#This Row],[Social Score]])/2</f>
        <v>0.58013888888888887</v>
      </c>
    </row>
    <row r="71" spans="2:13" x14ac:dyDescent="0.4">
      <c r="B71" s="2" t="s">
        <v>398</v>
      </c>
      <c r="C71" s="1" t="s">
        <v>399</v>
      </c>
      <c r="D71" s="1" t="s">
        <v>340</v>
      </c>
      <c r="E71" s="40">
        <f>'Environment '!G176</f>
        <v>0.375</v>
      </c>
      <c r="F71" s="40">
        <f>'Environment '!L176</f>
        <v>0.1875</v>
      </c>
      <c r="G71" s="40">
        <f>'Environment '!Q176</f>
        <v>0.14499999999999999</v>
      </c>
      <c r="H71" s="42">
        <f>'Environment '!R176</f>
        <v>0.23583333333333334</v>
      </c>
      <c r="I71" s="41">
        <f>Social!G177</f>
        <v>0.21250000000000002</v>
      </c>
      <c r="J71" s="40">
        <f>Social!K177</f>
        <v>0.33333333333333331</v>
      </c>
      <c r="K71" s="40">
        <f>Social!O177</f>
        <v>0.33333333333333331</v>
      </c>
      <c r="L71" s="42">
        <f>Social!P177</f>
        <v>0.29305555555555557</v>
      </c>
      <c r="M71" s="42">
        <f>(FullIndex[[#This Row],[Environment Score]]+FullIndex[[#This Row],[Social Score]])/2</f>
        <v>0.26444444444444448</v>
      </c>
    </row>
    <row r="72" spans="2:13" x14ac:dyDescent="0.4">
      <c r="B72" s="2" t="s">
        <v>54</v>
      </c>
      <c r="C72" s="1" t="s">
        <v>403</v>
      </c>
      <c r="D72" s="1" t="s">
        <v>130</v>
      </c>
      <c r="E72" s="40">
        <f>'Environment '!G177</f>
        <v>0.75</v>
      </c>
      <c r="F72" s="40">
        <f>'Environment '!L177</f>
        <v>0.375</v>
      </c>
      <c r="G72" s="40">
        <f>'Environment '!Q177</f>
        <v>0.36499999999999999</v>
      </c>
      <c r="H72" s="42">
        <f>'Environment '!R177</f>
        <v>0.49666666666666665</v>
      </c>
      <c r="I72" s="41">
        <f>Social!G178</f>
        <v>0.75</v>
      </c>
      <c r="J72" s="40">
        <f>Social!K178</f>
        <v>0.33333333333333331</v>
      </c>
      <c r="K72" s="40">
        <f>Social!O178</f>
        <v>1</v>
      </c>
      <c r="L72" s="42">
        <f>Social!P178</f>
        <v>0.69444444444444431</v>
      </c>
      <c r="M72" s="42">
        <f>(FullIndex[[#This Row],[Environment Score]]+FullIndex[[#This Row],[Social Score]])/2</f>
        <v>0.5955555555555555</v>
      </c>
    </row>
    <row r="73" spans="2:13" x14ac:dyDescent="0.4">
      <c r="B73" s="2" t="s">
        <v>56</v>
      </c>
      <c r="C73" s="1" t="s">
        <v>411</v>
      </c>
      <c r="D73" s="1" t="s">
        <v>155</v>
      </c>
      <c r="E73" s="40">
        <f>'Environment '!G178</f>
        <v>0.625</v>
      </c>
      <c r="F73" s="40">
        <f>'Environment '!L178</f>
        <v>0</v>
      </c>
      <c r="G73" s="40">
        <f>'Environment '!Q178</f>
        <v>0.82499999999999996</v>
      </c>
      <c r="H73" s="42">
        <f>'Environment '!R178</f>
        <v>0.48333333333333334</v>
      </c>
      <c r="I73" s="41">
        <f>Social!G179</f>
        <v>0.52500000000000002</v>
      </c>
      <c r="J73" s="40">
        <f>Social!K179</f>
        <v>0</v>
      </c>
      <c r="K73" s="40">
        <f>Social!O179</f>
        <v>0.66666666666666663</v>
      </c>
      <c r="L73" s="42">
        <f>Social!P179</f>
        <v>0.3972222222222222</v>
      </c>
      <c r="M73" s="42">
        <f>(FullIndex[[#This Row],[Environment Score]]+FullIndex[[#This Row],[Social Score]])/2</f>
        <v>0.44027777777777777</v>
      </c>
    </row>
    <row r="74" spans="2:13" x14ac:dyDescent="0.4">
      <c r="B74" s="2" t="s">
        <v>57</v>
      </c>
      <c r="C74" s="1" t="s">
        <v>415</v>
      </c>
      <c r="D74" s="1" t="s">
        <v>135</v>
      </c>
      <c r="E74" s="40">
        <f>'Environment '!G179</f>
        <v>0.125</v>
      </c>
      <c r="F74" s="40">
        <f>'Environment '!L179</f>
        <v>0</v>
      </c>
      <c r="G74" s="40">
        <f>'Environment '!Q179</f>
        <v>0.13750000000000001</v>
      </c>
      <c r="H74" s="42">
        <f>'Environment '!R179</f>
        <v>8.7500000000000008E-2</v>
      </c>
      <c r="I74" s="41">
        <f>Social!G180</f>
        <v>0.6875</v>
      </c>
      <c r="J74" s="40">
        <f>Social!K180</f>
        <v>0</v>
      </c>
      <c r="K74" s="40">
        <f>Social!O180</f>
        <v>1</v>
      </c>
      <c r="L74" s="42">
        <f>Social!P180</f>
        <v>0.5625</v>
      </c>
      <c r="M74" s="42">
        <f>(FullIndex[[#This Row],[Environment Score]]+FullIndex[[#This Row],[Social Score]])/2</f>
        <v>0.32500000000000001</v>
      </c>
    </row>
    <row r="75" spans="2:13" x14ac:dyDescent="0.4">
      <c r="B75" s="2" t="s">
        <v>58</v>
      </c>
      <c r="C75" s="1" t="s">
        <v>419</v>
      </c>
      <c r="D75" s="1" t="s">
        <v>135</v>
      </c>
      <c r="E75" s="40">
        <f>'Environment '!G180</f>
        <v>0.82499999999999996</v>
      </c>
      <c r="F75" s="40">
        <f>'Environment '!L180</f>
        <v>0</v>
      </c>
      <c r="G75" s="40">
        <f>'Environment '!Q180</f>
        <v>0.79249999999999998</v>
      </c>
      <c r="H75" s="42">
        <f>'Environment '!R180</f>
        <v>0.53916666666666668</v>
      </c>
      <c r="I75" s="41">
        <f>Social!G181</f>
        <v>0.46250000000000002</v>
      </c>
      <c r="J75" s="40">
        <f>Social!K181</f>
        <v>0.66666666666666663</v>
      </c>
      <c r="K75" s="40">
        <f>Social!O181</f>
        <v>0.33333333333333331</v>
      </c>
      <c r="L75" s="42">
        <f>Social!P181</f>
        <v>0.48749999999999999</v>
      </c>
      <c r="M75" s="42">
        <f>(FullIndex[[#This Row],[Environment Score]]+FullIndex[[#This Row],[Social Score]])/2</f>
        <v>0.51333333333333331</v>
      </c>
    </row>
    <row r="76" spans="2:13" x14ac:dyDescent="0.4">
      <c r="B76" s="2" t="s">
        <v>59</v>
      </c>
      <c r="C76" s="1" t="s">
        <v>423</v>
      </c>
      <c r="D76" s="1" t="s">
        <v>155</v>
      </c>
      <c r="E76" s="40">
        <f>'Environment '!G181</f>
        <v>0.52500000000000002</v>
      </c>
      <c r="F76" s="40">
        <f>'Environment '!L181</f>
        <v>0.4375</v>
      </c>
      <c r="G76" s="40">
        <f>'Environment '!Q181</f>
        <v>0.54500000000000004</v>
      </c>
      <c r="H76" s="42">
        <f>'Environment '!R181</f>
        <v>0.50250000000000006</v>
      </c>
      <c r="I76" s="41">
        <f>Social!G182</f>
        <v>0.58750000000000002</v>
      </c>
      <c r="J76" s="40">
        <f>Social!K182</f>
        <v>0</v>
      </c>
      <c r="K76" s="40">
        <f>Social!O182</f>
        <v>0.66666666666666663</v>
      </c>
      <c r="L76" s="42">
        <f>Social!P182</f>
        <v>0.41805555555555557</v>
      </c>
      <c r="M76" s="42">
        <f>(FullIndex[[#This Row],[Environment Score]]+FullIndex[[#This Row],[Social Score]])/2</f>
        <v>0.46027777777777779</v>
      </c>
    </row>
    <row r="77" spans="2:13" x14ac:dyDescent="0.4">
      <c r="B77" s="2" t="s">
        <v>60</v>
      </c>
      <c r="C77" s="1" t="s">
        <v>427</v>
      </c>
      <c r="D77" s="1" t="s">
        <v>130</v>
      </c>
      <c r="E77" s="40">
        <f>'Environment '!G182</f>
        <v>0.77500000000000002</v>
      </c>
      <c r="F77" s="40">
        <f>'Environment '!L182</f>
        <v>0.4375</v>
      </c>
      <c r="G77" s="40">
        <f>'Environment '!Q182</f>
        <v>0.36749999999999999</v>
      </c>
      <c r="H77" s="42">
        <f>'Environment '!R182</f>
        <v>0.52666666666666662</v>
      </c>
      <c r="I77" s="41">
        <f>Social!G183</f>
        <v>0.52500000000000002</v>
      </c>
      <c r="J77" s="40">
        <f>Social!K183</f>
        <v>0.33333333333333331</v>
      </c>
      <c r="K77" s="40">
        <f>Social!O183</f>
        <v>0.66666666666666663</v>
      </c>
      <c r="L77" s="42">
        <f>Social!P183</f>
        <v>0.5083333333333333</v>
      </c>
      <c r="M77" s="42">
        <f>(FullIndex[[#This Row],[Environment Score]]+FullIndex[[#This Row],[Social Score]])/2</f>
        <v>0.51749999999999996</v>
      </c>
    </row>
    <row r="78" spans="2:13" x14ac:dyDescent="0.4">
      <c r="B78" s="2" t="s">
        <v>61</v>
      </c>
      <c r="C78" s="1" t="s">
        <v>431</v>
      </c>
      <c r="D78" s="1" t="s">
        <v>115</v>
      </c>
      <c r="E78" s="40">
        <f>'Environment '!G183</f>
        <v>0.4</v>
      </c>
      <c r="F78" s="40">
        <f>'Environment '!L183</f>
        <v>0</v>
      </c>
      <c r="G78" s="40">
        <f>'Environment '!Q183</f>
        <v>0.19</v>
      </c>
      <c r="H78" s="42">
        <f>'Environment '!R183</f>
        <v>0.19666666666666668</v>
      </c>
      <c r="I78" s="41">
        <f>Social!G184</f>
        <v>0.46250000000000002</v>
      </c>
      <c r="J78" s="40">
        <f>Social!K184</f>
        <v>0</v>
      </c>
      <c r="K78" s="40">
        <f>Social!O184</f>
        <v>0.5</v>
      </c>
      <c r="L78" s="42">
        <f>Social!P184</f>
        <v>0.32083333333333336</v>
      </c>
      <c r="M78" s="42">
        <f>(FullIndex[[#This Row],[Environment Score]]+FullIndex[[#This Row],[Social Score]])/2</f>
        <v>0.25875000000000004</v>
      </c>
    </row>
    <row r="79" spans="2:13" x14ac:dyDescent="0.4">
      <c r="B79" s="2" t="s">
        <v>62</v>
      </c>
      <c r="C79" s="1" t="s">
        <v>435</v>
      </c>
      <c r="D79" s="1" t="s">
        <v>130</v>
      </c>
      <c r="E79" s="40">
        <f>'Environment '!G184</f>
        <v>0.375</v>
      </c>
      <c r="F79" s="40">
        <f>'Environment '!L184</f>
        <v>0</v>
      </c>
      <c r="G79" s="40">
        <f>'Environment '!Q184</f>
        <v>4.7500000000000001E-2</v>
      </c>
      <c r="H79" s="42">
        <f>'Environment '!R184</f>
        <v>0.14083333333333334</v>
      </c>
      <c r="I79" s="41">
        <f>Social!G185</f>
        <v>0.6875</v>
      </c>
      <c r="J79" s="40">
        <f>Social!K185</f>
        <v>0</v>
      </c>
      <c r="K79" s="40">
        <f>Social!O185</f>
        <v>0.5</v>
      </c>
      <c r="L79" s="42">
        <f>Social!P185</f>
        <v>0.39583333333333331</v>
      </c>
      <c r="M79" s="42">
        <f>(FullIndex[[#This Row],[Environment Score]]+FullIndex[[#This Row],[Social Score]])/2</f>
        <v>0.26833333333333331</v>
      </c>
    </row>
    <row r="80" spans="2:13" x14ac:dyDescent="0.4">
      <c r="B80" s="2" t="s">
        <v>439</v>
      </c>
      <c r="C80" s="1" t="s">
        <v>440</v>
      </c>
      <c r="D80" s="1" t="s">
        <v>106</v>
      </c>
      <c r="E80" s="40">
        <f>'Environment '!G185</f>
        <v>1</v>
      </c>
      <c r="F80" s="40">
        <f>'Environment '!L185</f>
        <v>0.5</v>
      </c>
      <c r="G80" s="40">
        <f>'Environment '!Q185</f>
        <v>0.16</v>
      </c>
      <c r="H80" s="42">
        <f>'Environment '!R185</f>
        <v>0.55333333333333334</v>
      </c>
      <c r="I80" s="41">
        <f>Social!G186</f>
        <v>0.42500000000000004</v>
      </c>
      <c r="J80" s="40">
        <f>Social!K186</f>
        <v>0.33333333333333331</v>
      </c>
      <c r="K80" s="40">
        <f>Social!O186</f>
        <v>0.83333333333333337</v>
      </c>
      <c r="L80" s="42">
        <f>Social!P186</f>
        <v>0.53055555555555556</v>
      </c>
      <c r="M80" s="42">
        <f>(FullIndex[[#This Row],[Environment Score]]+FullIndex[[#This Row],[Social Score]])/2</f>
        <v>0.54194444444444445</v>
      </c>
    </row>
    <row r="81" spans="2:13" x14ac:dyDescent="0.4">
      <c r="B81" s="2" t="s">
        <v>63</v>
      </c>
      <c r="C81" s="1" t="s">
        <v>444</v>
      </c>
      <c r="D81" s="1" t="s">
        <v>141</v>
      </c>
      <c r="E81" s="40">
        <f>'Environment '!G186</f>
        <v>0.82499999999999996</v>
      </c>
      <c r="F81" s="40">
        <f>'Environment '!L186</f>
        <v>0.1875</v>
      </c>
      <c r="G81" s="40">
        <f>'Environment '!Q186</f>
        <v>0.47750000000000004</v>
      </c>
      <c r="H81" s="42">
        <f>'Environment '!R186</f>
        <v>0.49666666666666665</v>
      </c>
      <c r="I81" s="41">
        <f>Social!G187</f>
        <v>0.58750000000000002</v>
      </c>
      <c r="J81" s="40">
        <f>Social!K187</f>
        <v>0</v>
      </c>
      <c r="K81" s="40">
        <f>Social!O187</f>
        <v>0.5</v>
      </c>
      <c r="L81" s="42">
        <f>Social!P187</f>
        <v>0.36249999999999999</v>
      </c>
      <c r="M81" s="42">
        <f>(FullIndex[[#This Row],[Environment Score]]+FullIndex[[#This Row],[Social Score]])/2</f>
        <v>0.42958333333333332</v>
      </c>
    </row>
    <row r="82" spans="2:13" x14ac:dyDescent="0.4">
      <c r="B82" s="2" t="s">
        <v>448</v>
      </c>
      <c r="C82" s="1" t="s">
        <v>449</v>
      </c>
      <c r="D82" s="1" t="s">
        <v>450</v>
      </c>
      <c r="E82" s="40">
        <f>'Environment '!G187</f>
        <v>0.4375</v>
      </c>
      <c r="F82" s="40">
        <f>'Environment '!L187</f>
        <v>0.125</v>
      </c>
      <c r="G82" s="40">
        <f>'Environment '!Q187</f>
        <v>0.46499999999999997</v>
      </c>
      <c r="H82" s="42">
        <f>'Environment '!R187</f>
        <v>0.34249999999999997</v>
      </c>
      <c r="I82" s="41">
        <f>Social!G188</f>
        <v>0.625</v>
      </c>
      <c r="J82" s="40">
        <f>Social!K188</f>
        <v>0</v>
      </c>
      <c r="K82" s="40">
        <f>Social!O188</f>
        <v>0.66666666666666663</v>
      </c>
      <c r="L82" s="42">
        <f>Social!P188</f>
        <v>0.43055555555555552</v>
      </c>
      <c r="M82" s="42">
        <f>(FullIndex[[#This Row],[Environment Score]]+FullIndex[[#This Row],[Social Score]])/2</f>
        <v>0.38652777777777775</v>
      </c>
    </row>
    <row r="83" spans="2:13" x14ac:dyDescent="0.4">
      <c r="B83" s="2" t="s">
        <v>454</v>
      </c>
      <c r="C83" s="1" t="s">
        <v>455</v>
      </c>
      <c r="D83" s="1" t="s">
        <v>377</v>
      </c>
      <c r="E83" s="40">
        <f>'Environment '!G188</f>
        <v>0.9375</v>
      </c>
      <c r="F83" s="40">
        <f>'Environment '!L188</f>
        <v>0.5</v>
      </c>
      <c r="G83" s="40">
        <f>'Environment '!Q188</f>
        <v>0.72499999999999998</v>
      </c>
      <c r="H83" s="42">
        <f>'Environment '!R188</f>
        <v>0.72083333333333333</v>
      </c>
      <c r="I83" s="41">
        <f>Social!G189</f>
        <v>0.6875</v>
      </c>
      <c r="J83" s="40">
        <f>Social!K189</f>
        <v>0.33333333333333331</v>
      </c>
      <c r="K83" s="40">
        <f>Social!O189</f>
        <v>0.83333333333333337</v>
      </c>
      <c r="L83" s="42">
        <f>Social!P189</f>
        <v>0.61805555555555547</v>
      </c>
      <c r="M83" s="42">
        <f>(FullIndex[[#This Row],[Environment Score]]+FullIndex[[#This Row],[Social Score]])/2</f>
        <v>0.6694444444444444</v>
      </c>
    </row>
    <row r="84" spans="2:13" x14ac:dyDescent="0.4">
      <c r="B84" s="2" t="s">
        <v>459</v>
      </c>
      <c r="C84" s="1" t="s">
        <v>460</v>
      </c>
      <c r="D84" s="1" t="s">
        <v>86</v>
      </c>
      <c r="E84" s="40">
        <f>'Environment '!G189</f>
        <v>0.375</v>
      </c>
      <c r="F84" s="40">
        <f>'Environment '!L189</f>
        <v>0.4375</v>
      </c>
      <c r="G84" s="40">
        <f>'Environment '!Q189</f>
        <v>0.43</v>
      </c>
      <c r="H84" s="42">
        <f>'Environment '!R189</f>
        <v>0.41416666666666663</v>
      </c>
      <c r="I84" s="41">
        <f>Social!G190</f>
        <v>0.6875</v>
      </c>
      <c r="J84" s="40">
        <f>Social!K190</f>
        <v>0.66666666666666663</v>
      </c>
      <c r="K84" s="40">
        <f>Social!O190</f>
        <v>0.5</v>
      </c>
      <c r="L84" s="42">
        <f>Social!P190</f>
        <v>0.61805555555555547</v>
      </c>
      <c r="M84" s="42">
        <f>(FullIndex[[#This Row],[Environment Score]]+FullIndex[[#This Row],[Social Score]])/2</f>
        <v>0.51611111111111108</v>
      </c>
    </row>
    <row r="85" spans="2:13" x14ac:dyDescent="0.4">
      <c r="B85" s="2" t="s">
        <v>64</v>
      </c>
      <c r="C85" s="1" t="s">
        <v>464</v>
      </c>
      <c r="D85" s="1" t="s">
        <v>252</v>
      </c>
      <c r="E85" s="40">
        <f>'Environment '!G190</f>
        <v>0.375</v>
      </c>
      <c r="F85" s="40">
        <f>'Environment '!L190</f>
        <v>0</v>
      </c>
      <c r="G85" s="40">
        <f>'Environment '!Q190</f>
        <v>3.5000000000000003E-2</v>
      </c>
      <c r="H85" s="42">
        <f>'Environment '!R190</f>
        <v>0.13666666666666669</v>
      </c>
      <c r="I85" s="41">
        <f>Social!G191</f>
        <v>0.5</v>
      </c>
      <c r="J85" s="40">
        <f>Social!K191</f>
        <v>0</v>
      </c>
      <c r="K85" s="40">
        <f>Social!O191</f>
        <v>0.33333333333333331</v>
      </c>
      <c r="L85" s="42">
        <f>Social!P191</f>
        <v>0.27777777777777773</v>
      </c>
      <c r="M85" s="42">
        <f>(FullIndex[[#This Row],[Environment Score]]+FullIndex[[#This Row],[Social Score]])/2</f>
        <v>0.2072222222222222</v>
      </c>
    </row>
    <row r="86" spans="2:13" x14ac:dyDescent="0.4">
      <c r="B86" s="2" t="s">
        <v>65</v>
      </c>
      <c r="C86" s="1" t="s">
        <v>468</v>
      </c>
      <c r="D86" s="1" t="s">
        <v>350</v>
      </c>
      <c r="E86" s="40">
        <f>'Environment '!G191</f>
        <v>0.5</v>
      </c>
      <c r="F86" s="40">
        <f>'Environment '!L191</f>
        <v>0</v>
      </c>
      <c r="G86" s="40">
        <f>'Environment '!Q191</f>
        <v>0.5575</v>
      </c>
      <c r="H86" s="42">
        <f>'Environment '!R191</f>
        <v>0.35250000000000004</v>
      </c>
      <c r="I86" s="41">
        <f>Social!G192</f>
        <v>0.52500000000000002</v>
      </c>
      <c r="J86" s="40">
        <f>Social!K192</f>
        <v>0.33333333333333331</v>
      </c>
      <c r="K86" s="40">
        <f>Social!O192</f>
        <v>0.83333333333333337</v>
      </c>
      <c r="L86" s="42">
        <f>Social!P192</f>
        <v>0.56388888888888899</v>
      </c>
      <c r="M86" s="42">
        <f>(FullIndex[[#This Row],[Environment Score]]+FullIndex[[#This Row],[Social Score]])/2</f>
        <v>0.45819444444444452</v>
      </c>
    </row>
    <row r="87" spans="2:13" x14ac:dyDescent="0.4">
      <c r="B87" s="2" t="s">
        <v>66</v>
      </c>
      <c r="C87" s="1" t="s">
        <v>472</v>
      </c>
      <c r="D87" s="1" t="s">
        <v>197</v>
      </c>
      <c r="E87" s="40">
        <f>'Environment '!G192</f>
        <v>0.77500000000000002</v>
      </c>
      <c r="F87" s="40">
        <f>'Environment '!L192</f>
        <v>0.5</v>
      </c>
      <c r="G87" s="40">
        <f>'Environment '!Q192</f>
        <v>0.5575</v>
      </c>
      <c r="H87" s="42">
        <f>'Environment '!R192</f>
        <v>0.61083333333333334</v>
      </c>
      <c r="I87" s="41">
        <f>Social!G193</f>
        <v>0.75</v>
      </c>
      <c r="J87" s="40">
        <f>Social!K193</f>
        <v>0.33333333333333331</v>
      </c>
      <c r="K87" s="40">
        <f>Social!O193</f>
        <v>1</v>
      </c>
      <c r="L87" s="42">
        <f>Social!P193</f>
        <v>0.69444444444444431</v>
      </c>
      <c r="M87" s="42">
        <f>(FullIndex[[#This Row],[Environment Score]]+FullIndex[[#This Row],[Social Score]])/2</f>
        <v>0.65263888888888877</v>
      </c>
    </row>
    <row r="88" spans="2:13" x14ac:dyDescent="0.4">
      <c r="B88" s="2" t="s">
        <v>476</v>
      </c>
      <c r="C88" s="1" t="s">
        <v>477</v>
      </c>
      <c r="D88" s="1" t="s">
        <v>168</v>
      </c>
      <c r="E88" s="40">
        <f>'Environment '!G193</f>
        <v>0.875</v>
      </c>
      <c r="F88" s="40">
        <f>'Environment '!L193</f>
        <v>0.5</v>
      </c>
      <c r="G88" s="40">
        <f>'Environment '!Q193</f>
        <v>0.62</v>
      </c>
      <c r="H88" s="42">
        <f>'Environment '!R193</f>
        <v>0.66500000000000004</v>
      </c>
      <c r="I88" s="41">
        <f>Social!G194</f>
        <v>0.52500000000000002</v>
      </c>
      <c r="J88" s="40">
        <f>Social!K194</f>
        <v>0</v>
      </c>
      <c r="K88" s="40">
        <f>Social!O194</f>
        <v>0.83333333333333337</v>
      </c>
      <c r="L88" s="42">
        <f>Social!P194</f>
        <v>0.45277777777777778</v>
      </c>
      <c r="M88" s="42">
        <f>(FullIndex[[#This Row],[Environment Score]]+FullIndex[[#This Row],[Social Score]])/2</f>
        <v>0.55888888888888888</v>
      </c>
    </row>
    <row r="89" spans="2:13" x14ac:dyDescent="0.4">
      <c r="B89" s="2" t="s">
        <v>67</v>
      </c>
      <c r="C89" s="1" t="s">
        <v>481</v>
      </c>
      <c r="D89" s="1" t="s">
        <v>213</v>
      </c>
      <c r="E89" s="40">
        <f>'Environment '!G194</f>
        <v>0.77500000000000002</v>
      </c>
      <c r="F89" s="40">
        <f>'Environment '!L194</f>
        <v>0</v>
      </c>
      <c r="G89" s="40">
        <f>'Environment '!Q194</f>
        <v>0.27249999999999996</v>
      </c>
      <c r="H89" s="42">
        <f>'Environment '!R194</f>
        <v>0.34916666666666663</v>
      </c>
      <c r="I89" s="41">
        <f>Social!G195</f>
        <v>0.46250000000000002</v>
      </c>
      <c r="J89" s="40">
        <f>Social!K195</f>
        <v>0</v>
      </c>
      <c r="K89" s="40">
        <f>Social!O195</f>
        <v>0.66666666666666663</v>
      </c>
      <c r="L89" s="42">
        <f>Social!P195</f>
        <v>0.37638888888888888</v>
      </c>
      <c r="M89" s="42">
        <f>(FullIndex[[#This Row],[Environment Score]]+FullIndex[[#This Row],[Social Score]])/2</f>
        <v>0.36277777777777775</v>
      </c>
    </row>
    <row r="90" spans="2:13" x14ac:dyDescent="0.4">
      <c r="B90" s="2" t="s">
        <v>68</v>
      </c>
      <c r="C90" s="1" t="s">
        <v>485</v>
      </c>
      <c r="D90" s="1" t="s">
        <v>486</v>
      </c>
      <c r="E90" s="40">
        <f>'Environment '!G195</f>
        <v>0.6875</v>
      </c>
      <c r="F90" s="40">
        <f>'Environment '!L195</f>
        <v>0</v>
      </c>
      <c r="G90" s="40">
        <f>'Environment '!Q195</f>
        <v>0.34499999999999997</v>
      </c>
      <c r="H90" s="42">
        <f>'Environment '!R195</f>
        <v>0.34416666666666668</v>
      </c>
      <c r="I90" s="41">
        <f>Social!G196</f>
        <v>0.42500000000000004</v>
      </c>
      <c r="J90" s="40">
        <f>Social!K196</f>
        <v>0</v>
      </c>
      <c r="K90" s="40">
        <f>Social!O196</f>
        <v>0.66666666666666663</v>
      </c>
      <c r="L90" s="42">
        <f>Social!P196</f>
        <v>0.36388888888888893</v>
      </c>
      <c r="M90" s="42">
        <f>(FullIndex[[#This Row],[Environment Score]]+FullIndex[[#This Row],[Social Score]])/2</f>
        <v>0.35402777777777783</v>
      </c>
    </row>
    <row r="91" spans="2:13" x14ac:dyDescent="0.4">
      <c r="B91" s="2" t="s">
        <v>490</v>
      </c>
      <c r="C91" s="1" t="s">
        <v>491</v>
      </c>
      <c r="D91" s="1" t="s">
        <v>308</v>
      </c>
      <c r="E91" s="40">
        <f>'Environment '!G196</f>
        <v>0.375</v>
      </c>
      <c r="F91" s="40">
        <f>'Environment '!L196</f>
        <v>0</v>
      </c>
      <c r="G91" s="40">
        <f>'Environment '!Q196</f>
        <v>0.43</v>
      </c>
      <c r="H91" s="42">
        <f>'Environment '!R196</f>
        <v>0.26833333333333331</v>
      </c>
      <c r="I91" s="41">
        <f>Social!G197</f>
        <v>0.58750000000000002</v>
      </c>
      <c r="J91" s="40">
        <f>Social!K197</f>
        <v>0.33333333333333331</v>
      </c>
      <c r="K91" s="40">
        <f>Social!O197</f>
        <v>0.66666666666666663</v>
      </c>
      <c r="L91" s="42">
        <f>Social!P197</f>
        <v>0.52916666666666667</v>
      </c>
      <c r="M91" s="42">
        <f>(FullIndex[[#This Row],[Environment Score]]+FullIndex[[#This Row],[Social Score]])/2</f>
        <v>0.39874999999999999</v>
      </c>
    </row>
    <row r="92" spans="2:13" x14ac:dyDescent="0.4">
      <c r="B92" s="2" t="s">
        <v>495</v>
      </c>
      <c r="C92" s="1" t="s">
        <v>69</v>
      </c>
      <c r="D92" s="1" t="s">
        <v>496</v>
      </c>
      <c r="E92" s="40">
        <f>'Environment '!G197</f>
        <v>0.625</v>
      </c>
      <c r="F92" s="40">
        <f>'Environment '!L197</f>
        <v>0.75</v>
      </c>
      <c r="G92" s="40">
        <f>'Environment '!Q197</f>
        <v>0.4975</v>
      </c>
      <c r="H92" s="42">
        <f>'Environment '!R197</f>
        <v>0.62416666666666665</v>
      </c>
      <c r="I92" s="41">
        <f>Social!G198</f>
        <v>0.625</v>
      </c>
      <c r="J92" s="40">
        <f>Social!K198</f>
        <v>0.66666666666666663</v>
      </c>
      <c r="K92" s="40">
        <f>Social!O198</f>
        <v>1</v>
      </c>
      <c r="L92" s="42">
        <f>Social!P198</f>
        <v>0.76388888888888884</v>
      </c>
      <c r="M92" s="42">
        <f>(FullIndex[[#This Row],[Environment Score]]+FullIndex[[#This Row],[Social Score]])/2</f>
        <v>0.69402777777777769</v>
      </c>
    </row>
    <row r="93" spans="2:13" x14ac:dyDescent="0.4">
      <c r="B93" s="2" t="s">
        <v>500</v>
      </c>
      <c r="C93" s="1" t="s">
        <v>501</v>
      </c>
      <c r="D93" s="1" t="s">
        <v>86</v>
      </c>
      <c r="E93" s="40">
        <f>'Environment '!G198</f>
        <v>0.125</v>
      </c>
      <c r="F93" s="40">
        <f>'Environment '!L198</f>
        <v>0</v>
      </c>
      <c r="G93" s="40">
        <f>'Environment '!Q198</f>
        <v>0.23</v>
      </c>
      <c r="H93" s="42">
        <f>'Environment '!R198</f>
        <v>0.11833333333333333</v>
      </c>
      <c r="I93" s="41">
        <f>Social!G199</f>
        <v>0.625</v>
      </c>
      <c r="J93" s="40">
        <f>Social!K199</f>
        <v>0.33333333333333331</v>
      </c>
      <c r="K93" s="40">
        <f>Social!O199</f>
        <v>0.83333333333333337</v>
      </c>
      <c r="L93" s="42">
        <f>Social!P199</f>
        <v>0.59722222222222221</v>
      </c>
      <c r="M93" s="42">
        <f>(FullIndex[[#This Row],[Environment Score]]+FullIndex[[#This Row],[Social Score]])/2</f>
        <v>0.35777777777777775</v>
      </c>
    </row>
    <row r="94" spans="2:13" x14ac:dyDescent="0.4">
      <c r="B94" s="2" t="s">
        <v>70</v>
      </c>
      <c r="C94" s="1" t="s">
        <v>505</v>
      </c>
      <c r="D94" s="1" t="s">
        <v>150</v>
      </c>
      <c r="E94" s="40">
        <f>'Environment '!G199</f>
        <v>0.375</v>
      </c>
      <c r="F94" s="40">
        <f>'Environment '!L199</f>
        <v>0.625</v>
      </c>
      <c r="G94" s="40">
        <f>'Environment '!Q199</f>
        <v>0.47</v>
      </c>
      <c r="H94" s="42">
        <f>'Environment '!R199</f>
        <v>0.49</v>
      </c>
      <c r="I94" s="41">
        <f>Social!G200</f>
        <v>0.52500000000000002</v>
      </c>
      <c r="J94" s="40">
        <f>Social!K200</f>
        <v>0.66666666666666663</v>
      </c>
      <c r="K94" s="40">
        <f>Social!O200</f>
        <v>0.66666666666666663</v>
      </c>
      <c r="L94" s="42">
        <f>Social!P200</f>
        <v>0.61944444444444446</v>
      </c>
      <c r="M94" s="42">
        <f>(FullIndex[[#This Row],[Environment Score]]+FullIndex[[#This Row],[Social Score]])/2</f>
        <v>0.55472222222222223</v>
      </c>
    </row>
    <row r="95" spans="2:13" x14ac:dyDescent="0.4">
      <c r="B95" s="2" t="s">
        <v>71</v>
      </c>
      <c r="C95" s="1" t="s">
        <v>551</v>
      </c>
      <c r="D95" s="1" t="s">
        <v>155</v>
      </c>
      <c r="E95" s="40">
        <f>'Environment '!G200</f>
        <v>0.375</v>
      </c>
      <c r="F95" s="40">
        <f>'Environment '!L200</f>
        <v>0</v>
      </c>
      <c r="G95" s="40">
        <f>'Environment '!Q200</f>
        <v>0.52</v>
      </c>
      <c r="H95" s="42">
        <f>'Environment '!R200</f>
        <v>0.29833333333333334</v>
      </c>
      <c r="I95" s="41">
        <f>Social!G201</f>
        <v>0.4</v>
      </c>
      <c r="J95" s="40">
        <f>Social!K201</f>
        <v>0</v>
      </c>
      <c r="K95" s="40">
        <f>Social!O201</f>
        <v>0.33333333333333331</v>
      </c>
      <c r="L95" s="42">
        <f>Social!P201</f>
        <v>0.24444444444444446</v>
      </c>
      <c r="M95" s="42">
        <f>(FullIndex[[#This Row],[Environment Score]]+FullIndex[[#This Row],[Social Score]])/2</f>
        <v>0.2713888888888889</v>
      </c>
    </row>
    <row r="96" spans="2:13" x14ac:dyDescent="0.4">
      <c r="B96" s="2" t="s">
        <v>72</v>
      </c>
      <c r="C96" s="1" t="s">
        <v>514</v>
      </c>
      <c r="D96" s="1" t="s">
        <v>377</v>
      </c>
      <c r="E96" s="40">
        <f>'Environment '!G201</f>
        <v>0.875</v>
      </c>
      <c r="F96" s="40">
        <f>'Environment '!L201</f>
        <v>0.9375</v>
      </c>
      <c r="G96" s="40">
        <f>'Environment '!Q201</f>
        <v>0.72750000000000004</v>
      </c>
      <c r="H96" s="42">
        <f>'Environment '!R201</f>
        <v>0.84666666666666668</v>
      </c>
      <c r="I96" s="41">
        <f>Social!G202</f>
        <v>0.46250000000000002</v>
      </c>
      <c r="J96" s="40">
        <f>Social!K202</f>
        <v>0.66666666666666663</v>
      </c>
      <c r="K96" s="40">
        <f>Social!O202</f>
        <v>0.5</v>
      </c>
      <c r="L96" s="42">
        <f>Social!P202</f>
        <v>0.54305555555555551</v>
      </c>
      <c r="M96" s="42">
        <f>(FullIndex[[#This Row],[Environment Score]]+FullIndex[[#This Row],[Social Score]])/2</f>
        <v>0.69486111111111115</v>
      </c>
    </row>
    <row r="97" spans="2:17" x14ac:dyDescent="0.4">
      <c r="B97" s="2" t="s">
        <v>73</v>
      </c>
      <c r="C97" s="1" t="s">
        <v>518</v>
      </c>
      <c r="D97" s="1" t="s">
        <v>192</v>
      </c>
      <c r="E97" s="40">
        <f>'Environment '!G202</f>
        <v>0.875</v>
      </c>
      <c r="F97" s="40">
        <f>'Environment '!L202</f>
        <v>0.75</v>
      </c>
      <c r="G97" s="40">
        <f>'Environment '!Q202</f>
        <v>0.67249999999999999</v>
      </c>
      <c r="H97" s="42">
        <f>'Environment '!R202</f>
        <v>0.76583333333333325</v>
      </c>
      <c r="I97" s="41">
        <f>Social!G203</f>
        <v>0.625</v>
      </c>
      <c r="J97" s="40">
        <f>Social!K203</f>
        <v>0.66666666666666663</v>
      </c>
      <c r="K97" s="40">
        <f>Social!O203</f>
        <v>0.66666666666666663</v>
      </c>
      <c r="L97" s="42">
        <f>Social!P203</f>
        <v>0.65277777777777768</v>
      </c>
      <c r="M97" s="42">
        <f>(FullIndex[[#This Row],[Environment Score]]+FullIndex[[#This Row],[Social Score]])/2</f>
        <v>0.70930555555555541</v>
      </c>
    </row>
    <row r="98" spans="2:17" x14ac:dyDescent="0.4">
      <c r="B98" s="2" t="s">
        <v>522</v>
      </c>
      <c r="C98" s="1" t="s">
        <v>552</v>
      </c>
      <c r="D98" s="1" t="s">
        <v>350</v>
      </c>
      <c r="E98" s="40">
        <f>'Environment '!G203</f>
        <v>0.375</v>
      </c>
      <c r="F98" s="40">
        <f>'Environment '!L203</f>
        <v>0</v>
      </c>
      <c r="G98" s="40">
        <f>'Environment '!Q203</f>
        <v>0.69500000000000006</v>
      </c>
      <c r="H98" s="42">
        <f>'Environment '!R203</f>
        <v>0.35666666666666669</v>
      </c>
      <c r="I98" s="41">
        <f>Social!G204</f>
        <v>0.3</v>
      </c>
      <c r="J98" s="40">
        <f>Social!K204</f>
        <v>0.33333333333333331</v>
      </c>
      <c r="K98" s="40">
        <f>Social!O204</f>
        <v>0.66666666666666663</v>
      </c>
      <c r="L98" s="42">
        <f>Social!P204</f>
        <v>0.43333333333333329</v>
      </c>
      <c r="M98" s="42">
        <f>(FullIndex[[#This Row],[Environment Score]]+FullIndex[[#This Row],[Social Score]])/2</f>
        <v>0.39500000000000002</v>
      </c>
    </row>
    <row r="99" spans="2:17" x14ac:dyDescent="0.4">
      <c r="B99" s="2" t="s">
        <v>528</v>
      </c>
      <c r="C99" s="1" t="s">
        <v>529</v>
      </c>
      <c r="D99" s="1" t="s">
        <v>197</v>
      </c>
      <c r="E99" s="40">
        <f>'Environment '!G204</f>
        <v>1</v>
      </c>
      <c r="F99" s="40">
        <f>'Environment '!L204</f>
        <v>0.5</v>
      </c>
      <c r="G99" s="40">
        <f>'Environment '!Q204</f>
        <v>0.49249999999999999</v>
      </c>
      <c r="H99" s="42">
        <f>'Environment '!R204</f>
        <v>0.66416666666666668</v>
      </c>
      <c r="I99" s="41">
        <f>Social!G205</f>
        <v>0.625</v>
      </c>
      <c r="J99" s="40">
        <f>Social!K205</f>
        <v>0.66666666666666663</v>
      </c>
      <c r="K99" s="40">
        <f>Social!O205</f>
        <v>0.83333333333333337</v>
      </c>
      <c r="L99" s="42">
        <f>Social!P205</f>
        <v>0.70833333333333337</v>
      </c>
      <c r="M99" s="42">
        <f>(FullIndex[[#This Row],[Environment Score]]+FullIndex[[#This Row],[Social Score]])/2</f>
        <v>0.68625000000000003</v>
      </c>
    </row>
    <row r="100" spans="2:17" x14ac:dyDescent="0.4">
      <c r="B100" s="2" t="s">
        <v>74</v>
      </c>
      <c r="C100" s="1" t="s">
        <v>533</v>
      </c>
      <c r="D100" s="1" t="s">
        <v>534</v>
      </c>
      <c r="E100" s="40">
        <f>'Environment '!G205</f>
        <v>0.9375</v>
      </c>
      <c r="F100" s="40">
        <f>'Environment '!L205</f>
        <v>0.875</v>
      </c>
      <c r="G100" s="40">
        <f>'Environment '!Q205</f>
        <v>0.74750000000000005</v>
      </c>
      <c r="H100" s="42">
        <f>'Environment '!R205</f>
        <v>0.85333333333333339</v>
      </c>
      <c r="I100" s="41">
        <f>Social!G206</f>
        <v>0.52500000000000002</v>
      </c>
      <c r="J100" s="40">
        <f>Social!K206</f>
        <v>0.66666666666666663</v>
      </c>
      <c r="K100" s="40">
        <f>Social!O206</f>
        <v>0.33333333333333331</v>
      </c>
      <c r="L100" s="42">
        <f>Social!P206</f>
        <v>0.5083333333333333</v>
      </c>
      <c r="M100" s="42">
        <f>(FullIndex[[#This Row],[Environment Score]]+FullIndex[[#This Row],[Social Score]])/2</f>
        <v>0.6808333333333334</v>
      </c>
    </row>
    <row r="101" spans="2:17" x14ac:dyDescent="0.4">
      <c r="B101" s="2" t="s">
        <v>75</v>
      </c>
      <c r="C101" s="1" t="s">
        <v>538</v>
      </c>
      <c r="D101" s="1" t="s">
        <v>539</v>
      </c>
      <c r="E101" s="40">
        <f>'Environment '!G206</f>
        <v>0.57499999999999996</v>
      </c>
      <c r="F101" s="40">
        <f>'Environment '!L206</f>
        <v>0.6875</v>
      </c>
      <c r="G101" s="40">
        <f>'Environment '!Q206</f>
        <v>0.65749999999999997</v>
      </c>
      <c r="H101" s="42">
        <f>'Environment '!R206</f>
        <v>0.64</v>
      </c>
      <c r="I101" s="41">
        <f>Social!G207</f>
        <v>0.52500000000000002</v>
      </c>
      <c r="J101" s="40">
        <f>Social!K207</f>
        <v>0</v>
      </c>
      <c r="K101" s="40">
        <f>Social!O207</f>
        <v>0.5</v>
      </c>
      <c r="L101" s="42">
        <f>Social!P207</f>
        <v>0.34166666666666662</v>
      </c>
      <c r="M101" s="42">
        <f>(FullIndex[[#This Row],[Environment Score]]+FullIndex[[#This Row],[Social Score]])/2</f>
        <v>0.49083333333333334</v>
      </c>
    </row>
    <row r="102" spans="2:17" x14ac:dyDescent="0.4">
      <c r="B102" s="2" t="s">
        <v>76</v>
      </c>
      <c r="C102" s="1" t="s">
        <v>543</v>
      </c>
      <c r="D102" s="1" t="s">
        <v>544</v>
      </c>
      <c r="E102" s="40">
        <f>'Environment '!G207</f>
        <v>0.6875</v>
      </c>
      <c r="F102" s="40">
        <f>'Environment '!L207</f>
        <v>0.1875</v>
      </c>
      <c r="G102" s="40">
        <f>'Environment '!Q207</f>
        <v>0.26250000000000001</v>
      </c>
      <c r="H102" s="42">
        <f>'Environment '!R207</f>
        <v>0.37916666666666665</v>
      </c>
      <c r="I102" s="41">
        <f>Social!G208</f>
        <v>0.6875</v>
      </c>
      <c r="J102" s="40">
        <f>Social!K208</f>
        <v>0</v>
      </c>
      <c r="K102" s="40">
        <f>Social!O208</f>
        <v>1</v>
      </c>
      <c r="L102" s="42">
        <f>Social!P208</f>
        <v>0.5625</v>
      </c>
      <c r="M102" s="42">
        <f>(FullIndex[[#This Row],[Environment Score]]+FullIndex[[#This Row],[Social Score]])/2</f>
        <v>0.47083333333333333</v>
      </c>
    </row>
    <row r="103" spans="2:17" ht="16.5" thickBot="1" x14ac:dyDescent="0.45">
      <c r="B103" s="2" t="s">
        <v>77</v>
      </c>
      <c r="C103" s="1" t="s">
        <v>77</v>
      </c>
      <c r="D103" s="1" t="s">
        <v>130</v>
      </c>
      <c r="E103" s="40">
        <f>'Environment '!G208</f>
        <v>0.6875</v>
      </c>
      <c r="F103" s="40">
        <f>'Environment '!L208</f>
        <v>0.1875</v>
      </c>
      <c r="G103" s="40">
        <f>'Environment '!Q208</f>
        <v>0.3775</v>
      </c>
      <c r="H103" s="43">
        <f>'Environment '!R208</f>
        <v>0.41749999999999998</v>
      </c>
      <c r="I103" s="41">
        <f>Social!G209</f>
        <v>0.625</v>
      </c>
      <c r="J103" s="40">
        <f>Social!K209</f>
        <v>0.33333333333333331</v>
      </c>
      <c r="K103" s="40">
        <f>Social!O209</f>
        <v>0.66666666666666663</v>
      </c>
      <c r="L103" s="43">
        <f>Social!P209</f>
        <v>0.54166666666666663</v>
      </c>
      <c r="M103" s="43">
        <f>(FullIndex[[#This Row],[Environment Score]]+FullIndex[[#This Row],[Social Score]])/2</f>
        <v>0.47958333333333331</v>
      </c>
    </row>
    <row r="104" spans="2:17" ht="16.5" thickTop="1" x14ac:dyDescent="0.4">
      <c r="E104" s="72"/>
      <c r="F104" s="72"/>
      <c r="G104" s="72"/>
      <c r="H104" s="30"/>
      <c r="I104" s="72"/>
      <c r="J104" s="72"/>
      <c r="K104" s="72"/>
      <c r="L104" s="30"/>
      <c r="M104" s="72"/>
      <c r="N104" s="72"/>
      <c r="O104" s="72"/>
      <c r="P104" s="30"/>
    </row>
    <row r="107" spans="2:17" x14ac:dyDescent="0.4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</sheetData>
  <mergeCells count="6">
    <mergeCell ref="B2:D2"/>
    <mergeCell ref="E104:G104"/>
    <mergeCell ref="I104:K104"/>
    <mergeCell ref="M104:O104"/>
    <mergeCell ref="E2:H2"/>
    <mergeCell ref="I2:L2"/>
  </mergeCells>
  <phoneticPr fontId="14" type="noConversion"/>
  <conditionalFormatting sqref="H4:H103">
    <cfRule type="colorScale" priority="6">
      <colorScale>
        <cfvo type="min"/>
        <cfvo type="percentile" val="50"/>
        <cfvo type="max"/>
        <color rgb="FF97FF97"/>
        <color rgb="FFFFFF81"/>
        <color rgb="FFFF8181"/>
      </colorScale>
    </cfRule>
  </conditionalFormatting>
  <conditionalFormatting sqref="L4:L103">
    <cfRule type="colorScale" priority="2">
      <colorScale>
        <cfvo type="min"/>
        <cfvo type="percentile" val="50"/>
        <cfvo type="max"/>
        <color rgb="FF97FF97"/>
        <color rgb="FFFFFF81"/>
        <color rgb="FFFF8181"/>
      </colorScale>
    </cfRule>
  </conditionalFormatting>
  <conditionalFormatting sqref="M4:M103">
    <cfRule type="colorScale" priority="3">
      <colorScale>
        <cfvo type="min"/>
        <cfvo type="percentile" val="50"/>
        <cfvo type="max"/>
        <color rgb="FF9FFF9F"/>
        <color rgb="FFFFFF79"/>
        <color rgb="FFFF8989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ECB-B9DC-46B2-A9D0-DCD479970C10}">
  <sheetPr>
    <tabColor rgb="FF00B050"/>
  </sheetPr>
  <dimension ref="B1:W208"/>
  <sheetViews>
    <sheetView showGridLines="0" topLeftCell="N1" zoomScale="110" zoomScaleNormal="110" workbookViewId="0">
      <selection activeCell="V30" sqref="V30"/>
    </sheetView>
  </sheetViews>
  <sheetFormatPr defaultRowHeight="14.5" x14ac:dyDescent="0.35"/>
  <cols>
    <col min="1" max="1" width="4.54296875" customWidth="1"/>
    <col min="2" max="2" width="30.81640625" bestFit="1" customWidth="1"/>
    <col min="3" max="3" width="21.08984375" bestFit="1" customWidth="1"/>
    <col min="4" max="4" width="15.6328125" customWidth="1"/>
    <col min="5" max="5" width="14.7265625" customWidth="1"/>
    <col min="6" max="6" width="13.54296875" customWidth="1"/>
    <col min="7" max="7" width="10.81640625" customWidth="1"/>
    <col min="8" max="8" width="13.90625" bestFit="1" customWidth="1"/>
    <col min="9" max="9" width="17.81640625" customWidth="1"/>
    <col min="10" max="10" width="13.26953125" customWidth="1"/>
    <col min="11" max="11" width="20.26953125" bestFit="1" customWidth="1"/>
    <col min="12" max="12" width="10.81640625" customWidth="1"/>
    <col min="13" max="13" width="18.7265625" bestFit="1" customWidth="1"/>
    <col min="14" max="14" width="10.81640625" customWidth="1"/>
    <col min="15" max="15" width="12.90625" bestFit="1" customWidth="1"/>
    <col min="16" max="16" width="15.6328125" bestFit="1" customWidth="1"/>
    <col min="17" max="17" width="10.81640625" bestFit="1" customWidth="1"/>
    <col min="18" max="18" width="14.26953125" bestFit="1" customWidth="1"/>
    <col min="21" max="21" width="54.90625" bestFit="1" customWidth="1"/>
    <col min="22" max="22" width="45.453125" bestFit="1" customWidth="1"/>
    <col min="23" max="23" width="41.7265625" bestFit="1" customWidth="1"/>
  </cols>
  <sheetData>
    <row r="1" spans="2:23" ht="25" customHeight="1" x14ac:dyDescent="0.35"/>
    <row r="2" spans="2:23" ht="18.5" x14ac:dyDescent="0.45">
      <c r="B2" s="79" t="s">
        <v>691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53"/>
      <c r="Q2" s="53"/>
      <c r="R2" s="53"/>
      <c r="U2" s="79" t="s">
        <v>0</v>
      </c>
      <c r="V2" s="79"/>
      <c r="W2" s="79"/>
    </row>
    <row r="3" spans="2:23" ht="16" x14ac:dyDescent="0.4">
      <c r="B3" s="52" t="s">
        <v>679</v>
      </c>
      <c r="C3" s="80" t="s">
        <v>647</v>
      </c>
      <c r="D3" s="80"/>
      <c r="E3" s="80"/>
      <c r="F3" s="80"/>
      <c r="G3" s="33"/>
      <c r="H3" s="80" t="s">
        <v>648</v>
      </c>
      <c r="I3" s="80"/>
      <c r="J3" s="80"/>
      <c r="K3" s="80"/>
      <c r="L3" s="33"/>
      <c r="M3" s="80" t="s">
        <v>649</v>
      </c>
      <c r="N3" s="80"/>
      <c r="O3" s="80"/>
      <c r="P3" s="53"/>
      <c r="Q3" s="53"/>
      <c r="R3" s="53"/>
      <c r="U3" s="19" t="s">
        <v>572</v>
      </c>
      <c r="V3" s="19" t="s">
        <v>575</v>
      </c>
      <c r="W3" s="19" t="s">
        <v>677</v>
      </c>
    </row>
    <row r="4" spans="2:23" ht="16" x14ac:dyDescent="0.4">
      <c r="B4" s="2" t="s">
        <v>4</v>
      </c>
      <c r="C4" s="2" t="s">
        <v>656</v>
      </c>
      <c r="D4" s="2" t="s">
        <v>657</v>
      </c>
      <c r="E4" s="2" t="s">
        <v>658</v>
      </c>
      <c r="F4" s="2" t="s">
        <v>659</v>
      </c>
      <c r="G4" s="54" t="s">
        <v>713</v>
      </c>
      <c r="H4" s="2" t="s">
        <v>719</v>
      </c>
      <c r="I4" s="2" t="s">
        <v>729</v>
      </c>
      <c r="J4" s="2" t="s">
        <v>661</v>
      </c>
      <c r="K4" s="2" t="s">
        <v>662</v>
      </c>
      <c r="L4" s="54" t="s">
        <v>714</v>
      </c>
      <c r="M4" s="2" t="s">
        <v>731</v>
      </c>
      <c r="N4" s="2" t="s">
        <v>664</v>
      </c>
      <c r="O4" s="2" t="s">
        <v>665</v>
      </c>
      <c r="P4" s="2" t="s">
        <v>666</v>
      </c>
      <c r="Q4" s="54" t="s">
        <v>715</v>
      </c>
      <c r="R4" s="54" t="s">
        <v>716</v>
      </c>
      <c r="U4" s="13"/>
      <c r="V4" s="13"/>
      <c r="W4" s="13"/>
    </row>
    <row r="5" spans="2:23" ht="16" x14ac:dyDescent="0.4">
      <c r="B5" s="2" t="s">
        <v>5</v>
      </c>
      <c r="C5" s="1">
        <v>2040</v>
      </c>
      <c r="D5" s="29" t="s">
        <v>692</v>
      </c>
      <c r="E5" s="29" t="s">
        <v>673</v>
      </c>
      <c r="F5" s="29" t="s">
        <v>693</v>
      </c>
      <c r="G5" s="55"/>
      <c r="H5" s="29" t="s">
        <v>663</v>
      </c>
      <c r="I5" s="29" t="s">
        <v>693</v>
      </c>
      <c r="J5" s="29" t="s">
        <v>655</v>
      </c>
      <c r="K5" s="29" t="s">
        <v>655</v>
      </c>
      <c r="L5" s="55"/>
      <c r="M5" s="29">
        <v>30</v>
      </c>
      <c r="N5" s="29" t="s">
        <v>693</v>
      </c>
      <c r="O5" s="29" t="s">
        <v>693</v>
      </c>
      <c r="P5" s="29" t="s">
        <v>669</v>
      </c>
      <c r="Q5" s="56"/>
      <c r="R5" s="56"/>
      <c r="U5" s="3" t="s">
        <v>561</v>
      </c>
      <c r="V5" s="3" t="s">
        <v>721</v>
      </c>
      <c r="W5" s="3" t="s">
        <v>732</v>
      </c>
    </row>
    <row r="6" spans="2:23" ht="16" x14ac:dyDescent="0.4">
      <c r="B6" s="2" t="s">
        <v>6</v>
      </c>
      <c r="C6" s="1">
        <v>2040</v>
      </c>
      <c r="D6" s="29" t="s">
        <v>692</v>
      </c>
      <c r="E6" s="29" t="s">
        <v>673</v>
      </c>
      <c r="F6" s="29" t="s">
        <v>693</v>
      </c>
      <c r="G6" s="55"/>
      <c r="H6" s="29" t="s">
        <v>663</v>
      </c>
      <c r="I6" s="29">
        <v>0.75</v>
      </c>
      <c r="J6" s="29" t="s">
        <v>655</v>
      </c>
      <c r="K6" s="29" t="s">
        <v>655</v>
      </c>
      <c r="L6" s="55"/>
      <c r="M6" s="29">
        <v>43</v>
      </c>
      <c r="N6" s="29" t="s">
        <v>703</v>
      </c>
      <c r="O6" s="29" t="s">
        <v>693</v>
      </c>
      <c r="P6" s="29" t="s">
        <v>669</v>
      </c>
      <c r="Q6" s="56"/>
      <c r="R6" s="56"/>
      <c r="U6" s="13" t="s">
        <v>553</v>
      </c>
      <c r="V6" s="13" t="s">
        <v>725</v>
      </c>
      <c r="W6" s="13" t="s">
        <v>733</v>
      </c>
    </row>
    <row r="7" spans="2:23" ht="16" x14ac:dyDescent="0.4">
      <c r="B7" s="2" t="s">
        <v>94</v>
      </c>
      <c r="C7" s="1">
        <v>2050</v>
      </c>
      <c r="D7" s="29" t="s">
        <v>699</v>
      </c>
      <c r="E7" s="29" t="s">
        <v>655</v>
      </c>
      <c r="F7" s="29" t="s">
        <v>693</v>
      </c>
      <c r="G7" s="55"/>
      <c r="H7" s="29" t="s">
        <v>663</v>
      </c>
      <c r="I7" s="29">
        <v>0.3</v>
      </c>
      <c r="J7" s="29" t="s">
        <v>655</v>
      </c>
      <c r="K7" s="29" t="s">
        <v>655</v>
      </c>
      <c r="L7" s="55"/>
      <c r="M7" s="29">
        <v>50</v>
      </c>
      <c r="N7" s="29" t="s">
        <v>693</v>
      </c>
      <c r="O7" s="29" t="s">
        <v>693</v>
      </c>
      <c r="P7" s="29" t="s">
        <v>663</v>
      </c>
      <c r="Q7" s="56"/>
      <c r="R7" s="56"/>
      <c r="U7" s="13" t="s">
        <v>554</v>
      </c>
      <c r="V7" s="13" t="s">
        <v>723</v>
      </c>
      <c r="W7" s="13" t="s">
        <v>597</v>
      </c>
    </row>
    <row r="8" spans="2:23" ht="16" x14ac:dyDescent="0.4">
      <c r="B8" s="2" t="s">
        <v>7</v>
      </c>
      <c r="C8" s="1">
        <v>2050</v>
      </c>
      <c r="D8" s="29" t="s">
        <v>700</v>
      </c>
      <c r="E8" s="29" t="s">
        <v>655</v>
      </c>
      <c r="F8" s="29" t="s">
        <v>693</v>
      </c>
      <c r="G8" s="55"/>
      <c r="H8" s="29" t="s">
        <v>663</v>
      </c>
      <c r="I8" s="29" t="s">
        <v>693</v>
      </c>
      <c r="J8" s="29" t="s">
        <v>655</v>
      </c>
      <c r="K8" s="29" t="s">
        <v>655</v>
      </c>
      <c r="L8" s="55"/>
      <c r="M8" s="29">
        <v>4</v>
      </c>
      <c r="N8" s="29" t="s">
        <v>693</v>
      </c>
      <c r="O8" s="29" t="s">
        <v>693</v>
      </c>
      <c r="P8" s="29" t="s">
        <v>663</v>
      </c>
      <c r="Q8" s="56"/>
      <c r="R8" s="56"/>
      <c r="U8" s="13" t="s">
        <v>555</v>
      </c>
      <c r="V8" s="13" t="s">
        <v>722</v>
      </c>
      <c r="W8" s="13"/>
    </row>
    <row r="9" spans="2:23" ht="16" x14ac:dyDescent="0.4">
      <c r="B9" s="2" t="s">
        <v>8</v>
      </c>
      <c r="C9" s="1">
        <v>2040</v>
      </c>
      <c r="D9" s="29" t="s">
        <v>700</v>
      </c>
      <c r="E9" s="29" t="s">
        <v>655</v>
      </c>
      <c r="F9" s="29">
        <v>4</v>
      </c>
      <c r="G9" s="55"/>
      <c r="H9" s="29" t="s">
        <v>663</v>
      </c>
      <c r="I9" s="29">
        <v>0.74</v>
      </c>
      <c r="J9" s="29" t="s">
        <v>655</v>
      </c>
      <c r="K9" s="29" t="s">
        <v>673</v>
      </c>
      <c r="L9" s="55"/>
      <c r="M9" s="29">
        <v>144</v>
      </c>
      <c r="N9" s="29" t="s">
        <v>693</v>
      </c>
      <c r="O9" s="29" t="s">
        <v>673</v>
      </c>
      <c r="P9" s="29" t="s">
        <v>728</v>
      </c>
      <c r="Q9" s="56"/>
      <c r="R9" s="56"/>
      <c r="U9" s="13" t="s">
        <v>556</v>
      </c>
      <c r="V9" s="13" t="s">
        <v>724</v>
      </c>
      <c r="W9" s="3" t="s">
        <v>701</v>
      </c>
    </row>
    <row r="10" spans="2:23" ht="16" x14ac:dyDescent="0.4">
      <c r="B10" s="2" t="s">
        <v>9</v>
      </c>
      <c r="C10" s="1">
        <v>2050</v>
      </c>
      <c r="D10" s="29" t="s">
        <v>700</v>
      </c>
      <c r="E10" s="29" t="s">
        <v>673</v>
      </c>
      <c r="F10" s="29">
        <v>3</v>
      </c>
      <c r="G10" s="55"/>
      <c r="H10" s="29" t="s">
        <v>703</v>
      </c>
      <c r="I10" s="29" t="s">
        <v>693</v>
      </c>
      <c r="J10" s="29" t="s">
        <v>655</v>
      </c>
      <c r="K10" s="29" t="s">
        <v>673</v>
      </c>
      <c r="L10" s="55"/>
      <c r="M10" s="29">
        <v>99</v>
      </c>
      <c r="N10" s="29" t="s">
        <v>703</v>
      </c>
      <c r="O10" s="29" t="s">
        <v>655</v>
      </c>
      <c r="P10" s="29" t="s">
        <v>669</v>
      </c>
      <c r="Q10" s="56"/>
      <c r="R10" s="56"/>
      <c r="U10" s="13" t="s">
        <v>557</v>
      </c>
      <c r="V10" s="13"/>
      <c r="W10" s="13" t="s">
        <v>598</v>
      </c>
    </row>
    <row r="11" spans="2:23" ht="16" x14ac:dyDescent="0.4">
      <c r="B11" s="2" t="s">
        <v>10</v>
      </c>
      <c r="C11" s="1">
        <v>2050</v>
      </c>
      <c r="D11" s="29" t="s">
        <v>700</v>
      </c>
      <c r="E11" s="29" t="s">
        <v>655</v>
      </c>
      <c r="F11" s="29">
        <v>3</v>
      </c>
      <c r="G11" s="55"/>
      <c r="H11" s="29" t="s">
        <v>663</v>
      </c>
      <c r="I11" s="29" t="s">
        <v>693</v>
      </c>
      <c r="J11" s="29" t="s">
        <v>655</v>
      </c>
      <c r="K11" s="29" t="s">
        <v>655</v>
      </c>
      <c r="L11" s="55"/>
      <c r="M11" s="29" t="s">
        <v>693</v>
      </c>
      <c r="N11" s="29" t="s">
        <v>703</v>
      </c>
      <c r="O11" s="29" t="s">
        <v>655</v>
      </c>
      <c r="P11" s="29" t="s">
        <v>663</v>
      </c>
      <c r="Q11" s="56"/>
      <c r="R11" s="56"/>
      <c r="U11" s="13" t="s">
        <v>558</v>
      </c>
      <c r="V11" s="3" t="s">
        <v>579</v>
      </c>
      <c r="W11" s="13"/>
    </row>
    <row r="12" spans="2:23" ht="16" x14ac:dyDescent="0.4">
      <c r="B12" s="2" t="s">
        <v>11</v>
      </c>
      <c r="C12" s="1">
        <v>2050</v>
      </c>
      <c r="D12" s="29" t="s">
        <v>692</v>
      </c>
      <c r="E12" s="29" t="s">
        <v>655</v>
      </c>
      <c r="F12" s="29">
        <v>5</v>
      </c>
      <c r="G12" s="55"/>
      <c r="H12" s="29" t="s">
        <v>704</v>
      </c>
      <c r="I12" s="29" t="s">
        <v>693</v>
      </c>
      <c r="J12" s="29" t="s">
        <v>655</v>
      </c>
      <c r="K12" s="29" t="s">
        <v>673</v>
      </c>
      <c r="L12" s="55"/>
      <c r="M12" s="29">
        <v>27</v>
      </c>
      <c r="N12" s="29" t="s">
        <v>703</v>
      </c>
      <c r="O12" s="29" t="s">
        <v>673</v>
      </c>
      <c r="P12" s="29" t="s">
        <v>669</v>
      </c>
      <c r="Q12" s="56"/>
      <c r="R12" s="56"/>
      <c r="U12" s="13" t="s">
        <v>559</v>
      </c>
      <c r="V12" s="13" t="s">
        <v>581</v>
      </c>
      <c r="W12" s="3" t="s">
        <v>599</v>
      </c>
    </row>
    <row r="13" spans="2:23" ht="16" x14ac:dyDescent="0.4">
      <c r="B13" s="2" t="s">
        <v>12</v>
      </c>
      <c r="C13" s="1">
        <v>2025</v>
      </c>
      <c r="D13" s="29" t="s">
        <v>692</v>
      </c>
      <c r="E13" s="29" t="s">
        <v>673</v>
      </c>
      <c r="F13" s="29">
        <v>5</v>
      </c>
      <c r="G13" s="55"/>
      <c r="H13" s="29" t="s">
        <v>704</v>
      </c>
      <c r="I13" s="29" t="s">
        <v>693</v>
      </c>
      <c r="J13" s="29" t="s">
        <v>706</v>
      </c>
      <c r="K13" s="29" t="s">
        <v>673</v>
      </c>
      <c r="L13" s="55"/>
      <c r="M13" s="29">
        <v>40</v>
      </c>
      <c r="N13" s="29" t="s">
        <v>693</v>
      </c>
      <c r="O13" s="29" t="s">
        <v>673</v>
      </c>
      <c r="P13" s="29" t="s">
        <v>669</v>
      </c>
      <c r="Q13" s="56"/>
      <c r="R13" s="56"/>
      <c r="U13" s="13"/>
      <c r="V13" s="13" t="s">
        <v>582</v>
      </c>
      <c r="W13" s="13" t="s">
        <v>586</v>
      </c>
    </row>
    <row r="14" spans="2:23" ht="16" x14ac:dyDescent="0.4">
      <c r="B14" s="2" t="s">
        <v>13</v>
      </c>
      <c r="C14" s="1">
        <v>2040</v>
      </c>
      <c r="D14" s="29" t="s">
        <v>692</v>
      </c>
      <c r="E14" s="29" t="s">
        <v>655</v>
      </c>
      <c r="F14" s="29" t="s">
        <v>693</v>
      </c>
      <c r="G14" s="55"/>
      <c r="H14" s="29" t="s">
        <v>663</v>
      </c>
      <c r="I14" s="29" t="s">
        <v>693</v>
      </c>
      <c r="J14" s="29" t="s">
        <v>655</v>
      </c>
      <c r="K14" s="29" t="s">
        <v>655</v>
      </c>
      <c r="L14" s="55"/>
      <c r="M14" s="29">
        <v>18</v>
      </c>
      <c r="N14" s="29" t="s">
        <v>703</v>
      </c>
      <c r="O14" s="29" t="s">
        <v>693</v>
      </c>
      <c r="P14" s="29" t="s">
        <v>669</v>
      </c>
      <c r="Q14" s="56"/>
      <c r="R14" s="56"/>
      <c r="U14" s="3" t="s">
        <v>560</v>
      </c>
      <c r="V14" s="13" t="s">
        <v>583</v>
      </c>
      <c r="W14" s="13" t="s">
        <v>587</v>
      </c>
    </row>
    <row r="15" spans="2:23" ht="16" x14ac:dyDescent="0.4">
      <c r="B15" s="2" t="s">
        <v>14</v>
      </c>
      <c r="C15" s="1">
        <v>2040</v>
      </c>
      <c r="D15" s="29" t="s">
        <v>692</v>
      </c>
      <c r="E15" s="29" t="s">
        <v>673</v>
      </c>
      <c r="F15" s="29" t="s">
        <v>693</v>
      </c>
      <c r="G15" s="55"/>
      <c r="H15" s="29" t="s">
        <v>703</v>
      </c>
      <c r="I15" s="29" t="s">
        <v>693</v>
      </c>
      <c r="J15" s="29" t="s">
        <v>673</v>
      </c>
      <c r="K15" s="29" t="s">
        <v>655</v>
      </c>
      <c r="L15" s="55"/>
      <c r="M15" s="29">
        <v>11</v>
      </c>
      <c r="N15" s="29" t="s">
        <v>667</v>
      </c>
      <c r="O15" s="29" t="s">
        <v>693</v>
      </c>
      <c r="P15" s="29" t="s">
        <v>663</v>
      </c>
      <c r="Q15" s="56"/>
      <c r="R15" s="56"/>
      <c r="U15" s="13" t="s">
        <v>562</v>
      </c>
      <c r="V15" s="13" t="s">
        <v>584</v>
      </c>
      <c r="W15" s="13" t="s">
        <v>603</v>
      </c>
    </row>
    <row r="16" spans="2:23" ht="16" x14ac:dyDescent="0.4">
      <c r="B16" s="2" t="s">
        <v>139</v>
      </c>
      <c r="C16" s="1">
        <v>2050</v>
      </c>
      <c r="D16" s="29" t="s">
        <v>692</v>
      </c>
      <c r="E16" s="29" t="s">
        <v>655</v>
      </c>
      <c r="F16" s="29" t="s">
        <v>693</v>
      </c>
      <c r="G16" s="55"/>
      <c r="H16" s="29" t="s">
        <v>703</v>
      </c>
      <c r="I16" s="29" t="s">
        <v>693</v>
      </c>
      <c r="J16" s="29" t="s">
        <v>655</v>
      </c>
      <c r="K16" s="29" t="s">
        <v>655</v>
      </c>
      <c r="L16" s="55"/>
      <c r="M16" s="29">
        <v>32</v>
      </c>
      <c r="N16" s="29" t="s">
        <v>693</v>
      </c>
      <c r="O16" s="29" t="s">
        <v>693</v>
      </c>
      <c r="P16" s="29" t="s">
        <v>669</v>
      </c>
      <c r="Q16" s="56"/>
      <c r="R16" s="56"/>
      <c r="U16" s="13" t="s">
        <v>563</v>
      </c>
      <c r="V16" s="13"/>
      <c r="W16" s="13"/>
    </row>
    <row r="17" spans="2:23" ht="16" x14ac:dyDescent="0.4">
      <c r="B17" s="2" t="s">
        <v>15</v>
      </c>
      <c r="C17" s="1">
        <v>2030</v>
      </c>
      <c r="D17" s="29" t="s">
        <v>692</v>
      </c>
      <c r="E17" s="29" t="s">
        <v>673</v>
      </c>
      <c r="F17" s="29">
        <v>4</v>
      </c>
      <c r="G17" s="55"/>
      <c r="H17" s="29" t="s">
        <v>663</v>
      </c>
      <c r="I17" s="29" t="s">
        <v>693</v>
      </c>
      <c r="J17" s="29" t="s">
        <v>655</v>
      </c>
      <c r="K17" s="29" t="s">
        <v>655</v>
      </c>
      <c r="L17" s="55"/>
      <c r="M17" s="29">
        <v>6</v>
      </c>
      <c r="N17" s="29" t="s">
        <v>693</v>
      </c>
      <c r="O17" s="29" t="s">
        <v>673</v>
      </c>
      <c r="P17" s="29" t="s">
        <v>669</v>
      </c>
      <c r="Q17" s="56"/>
      <c r="R17" s="56"/>
      <c r="U17" s="13" t="s">
        <v>564</v>
      </c>
      <c r="V17" s="3" t="s">
        <v>585</v>
      </c>
      <c r="W17" s="3" t="s">
        <v>600</v>
      </c>
    </row>
    <row r="18" spans="2:23" ht="16" x14ac:dyDescent="0.4">
      <c r="B18" s="2" t="s">
        <v>16</v>
      </c>
      <c r="C18" s="1">
        <v>2050</v>
      </c>
      <c r="D18" s="29" t="s">
        <v>692</v>
      </c>
      <c r="E18" s="29" t="s">
        <v>655</v>
      </c>
      <c r="F18" s="29">
        <v>5</v>
      </c>
      <c r="G18" s="55"/>
      <c r="H18" s="29" t="s">
        <v>704</v>
      </c>
      <c r="I18" s="29">
        <v>1.1399999999999999</v>
      </c>
      <c r="J18" s="29" t="s">
        <v>706</v>
      </c>
      <c r="K18" s="29" t="s">
        <v>673</v>
      </c>
      <c r="L18" s="55"/>
      <c r="M18" s="29">
        <v>41</v>
      </c>
      <c r="N18" s="29" t="s">
        <v>667</v>
      </c>
      <c r="O18" s="29" t="s">
        <v>673</v>
      </c>
      <c r="P18" s="29" t="s">
        <v>669</v>
      </c>
      <c r="Q18" s="56"/>
      <c r="R18" s="56"/>
      <c r="U18" s="13" t="s">
        <v>565</v>
      </c>
      <c r="V18" s="13" t="s">
        <v>586</v>
      </c>
      <c r="W18" s="13" t="s">
        <v>601</v>
      </c>
    </row>
    <row r="19" spans="2:23" ht="16" x14ac:dyDescent="0.4">
      <c r="B19" s="2" t="s">
        <v>17</v>
      </c>
      <c r="C19" s="1">
        <v>2040</v>
      </c>
      <c r="D19" s="29" t="s">
        <v>699</v>
      </c>
      <c r="E19" s="29" t="s">
        <v>673</v>
      </c>
      <c r="F19" s="29" t="s">
        <v>693</v>
      </c>
      <c r="G19" s="55"/>
      <c r="H19" s="29" t="s">
        <v>663</v>
      </c>
      <c r="I19" s="29" t="s">
        <v>693</v>
      </c>
      <c r="J19" s="29" t="s">
        <v>655</v>
      </c>
      <c r="K19" s="29" t="s">
        <v>655</v>
      </c>
      <c r="L19" s="55"/>
      <c r="M19" s="29" t="s">
        <v>693</v>
      </c>
      <c r="N19" s="29" t="s">
        <v>702</v>
      </c>
      <c r="O19" s="29" t="s">
        <v>693</v>
      </c>
      <c r="P19" s="29" t="s">
        <v>669</v>
      </c>
      <c r="Q19" s="56"/>
      <c r="R19" s="56"/>
      <c r="U19" s="13"/>
      <c r="V19" s="13" t="s">
        <v>705</v>
      </c>
      <c r="W19" s="13" t="s">
        <v>602</v>
      </c>
    </row>
    <row r="20" spans="2:23" ht="16" x14ac:dyDescent="0.4">
      <c r="B20" s="2" t="s">
        <v>18</v>
      </c>
      <c r="C20" s="1">
        <v>2050</v>
      </c>
      <c r="D20" s="29" t="s">
        <v>700</v>
      </c>
      <c r="E20" s="29" t="s">
        <v>655</v>
      </c>
      <c r="F20" s="29" t="s">
        <v>693</v>
      </c>
      <c r="G20" s="55"/>
      <c r="H20" s="29" t="s">
        <v>663</v>
      </c>
      <c r="I20" s="29" t="s">
        <v>693</v>
      </c>
      <c r="J20" s="29" t="s">
        <v>655</v>
      </c>
      <c r="K20" s="29" t="s">
        <v>655</v>
      </c>
      <c r="L20" s="55"/>
      <c r="M20" s="29">
        <v>26</v>
      </c>
      <c r="N20" s="29" t="s">
        <v>693</v>
      </c>
      <c r="O20" s="29" t="s">
        <v>693</v>
      </c>
      <c r="P20" s="29" t="s">
        <v>663</v>
      </c>
      <c r="Q20" s="56"/>
      <c r="R20" s="56"/>
      <c r="U20" s="3" t="s">
        <v>566</v>
      </c>
      <c r="V20" s="13" t="s">
        <v>588</v>
      </c>
      <c r="W20" s="13" t="s">
        <v>594</v>
      </c>
    </row>
    <row r="21" spans="2:23" ht="16" x14ac:dyDescent="0.4">
      <c r="B21" s="2" t="s">
        <v>163</v>
      </c>
      <c r="C21" s="1">
        <v>2450</v>
      </c>
      <c r="D21" s="29" t="s">
        <v>692</v>
      </c>
      <c r="E21" s="29" t="s">
        <v>655</v>
      </c>
      <c r="F21" s="29" t="s">
        <v>693</v>
      </c>
      <c r="G21" s="55"/>
      <c r="H21" s="29" t="s">
        <v>663</v>
      </c>
      <c r="I21" s="29">
        <v>0.55000000000000004</v>
      </c>
      <c r="J21" s="29" t="s">
        <v>655</v>
      </c>
      <c r="K21" s="29" t="s">
        <v>655</v>
      </c>
      <c r="L21" s="55"/>
      <c r="M21" s="29">
        <v>30</v>
      </c>
      <c r="N21" s="29" t="s">
        <v>693</v>
      </c>
      <c r="O21" s="29" t="s">
        <v>693</v>
      </c>
      <c r="P21" s="29" t="s">
        <v>669</v>
      </c>
      <c r="Q21" s="56"/>
      <c r="R21" s="56"/>
      <c r="U21" s="13" t="s">
        <v>567</v>
      </c>
      <c r="V21" s="13"/>
      <c r="W21" s="13"/>
    </row>
    <row r="22" spans="2:23" ht="16" x14ac:dyDescent="0.4">
      <c r="B22" s="2" t="s">
        <v>19</v>
      </c>
      <c r="C22" s="1">
        <v>2050</v>
      </c>
      <c r="D22" s="29" t="s">
        <v>692</v>
      </c>
      <c r="E22" s="29" t="s">
        <v>673</v>
      </c>
      <c r="F22" s="29">
        <v>5</v>
      </c>
      <c r="G22" s="55"/>
      <c r="H22" s="29" t="s">
        <v>704</v>
      </c>
      <c r="I22" s="29" t="s">
        <v>693</v>
      </c>
      <c r="J22" s="29" t="s">
        <v>655</v>
      </c>
      <c r="K22" s="29" t="s">
        <v>673</v>
      </c>
      <c r="L22" s="55"/>
      <c r="M22" s="29">
        <v>49</v>
      </c>
      <c r="N22" s="29" t="s">
        <v>693</v>
      </c>
      <c r="O22" s="29" t="s">
        <v>673</v>
      </c>
      <c r="P22" s="29" t="s">
        <v>663</v>
      </c>
      <c r="Q22" s="56"/>
      <c r="R22" s="56"/>
      <c r="U22" s="13" t="s">
        <v>568</v>
      </c>
      <c r="V22" s="3" t="s">
        <v>717</v>
      </c>
      <c r="W22" s="13"/>
    </row>
    <row r="23" spans="2:23" ht="16" x14ac:dyDescent="0.4">
      <c r="B23" s="2" t="s">
        <v>20</v>
      </c>
      <c r="C23" s="1">
        <v>2050</v>
      </c>
      <c r="D23" s="29" t="s">
        <v>692</v>
      </c>
      <c r="E23" s="29" t="s">
        <v>673</v>
      </c>
      <c r="F23" s="29">
        <v>3</v>
      </c>
      <c r="G23" s="55"/>
      <c r="H23" s="29" t="s">
        <v>702</v>
      </c>
      <c r="I23" s="29" t="s">
        <v>693</v>
      </c>
      <c r="J23" s="29" t="s">
        <v>655</v>
      </c>
      <c r="K23" s="29" t="s">
        <v>673</v>
      </c>
      <c r="L23" s="55"/>
      <c r="M23" s="29">
        <v>104</v>
      </c>
      <c r="N23" s="29" t="s">
        <v>702</v>
      </c>
      <c r="O23" s="29" t="s">
        <v>655</v>
      </c>
      <c r="P23" s="29" t="s">
        <v>663</v>
      </c>
      <c r="Q23" s="56"/>
      <c r="R23" s="56"/>
      <c r="U23" s="13" t="s">
        <v>569</v>
      </c>
      <c r="V23" s="13" t="s">
        <v>586</v>
      </c>
      <c r="W23" s="13"/>
    </row>
    <row r="24" spans="2:23" ht="16" x14ac:dyDescent="0.4">
      <c r="B24" s="2" t="s">
        <v>21</v>
      </c>
      <c r="C24" s="1">
        <v>2030</v>
      </c>
      <c r="D24" s="29" t="s">
        <v>700</v>
      </c>
      <c r="E24" s="29" t="s">
        <v>655</v>
      </c>
      <c r="F24" s="29" t="s">
        <v>693</v>
      </c>
      <c r="G24" s="55"/>
      <c r="H24" s="29" t="s">
        <v>663</v>
      </c>
      <c r="I24" s="29" t="s">
        <v>693</v>
      </c>
      <c r="J24" s="29" t="s">
        <v>673</v>
      </c>
      <c r="K24" s="29" t="s">
        <v>655</v>
      </c>
      <c r="L24" s="55"/>
      <c r="M24" s="29">
        <v>27</v>
      </c>
      <c r="N24" s="29" t="s">
        <v>693</v>
      </c>
      <c r="O24" s="29" t="s">
        <v>693</v>
      </c>
      <c r="P24" s="29" t="s">
        <v>663</v>
      </c>
      <c r="Q24" s="56"/>
      <c r="R24" s="56"/>
      <c r="U24" s="13" t="s">
        <v>570</v>
      </c>
      <c r="V24" s="13" t="s">
        <v>587</v>
      </c>
      <c r="W24" s="13"/>
    </row>
    <row r="25" spans="2:23" ht="16" x14ac:dyDescent="0.4">
      <c r="B25" s="2" t="s">
        <v>22</v>
      </c>
      <c r="C25" s="1">
        <v>2041</v>
      </c>
      <c r="D25" s="29" t="s">
        <v>692</v>
      </c>
      <c r="E25" s="29" t="s">
        <v>673</v>
      </c>
      <c r="F25" s="29">
        <v>5</v>
      </c>
      <c r="G25" s="55"/>
      <c r="H25" s="29" t="s">
        <v>704</v>
      </c>
      <c r="I25" s="29" t="s">
        <v>693</v>
      </c>
      <c r="J25" s="29" t="s">
        <v>673</v>
      </c>
      <c r="K25" s="29" t="s">
        <v>673</v>
      </c>
      <c r="L25" s="55"/>
      <c r="M25" s="29">
        <v>23</v>
      </c>
      <c r="N25" s="29" t="s">
        <v>702</v>
      </c>
      <c r="O25" s="29" t="s">
        <v>673</v>
      </c>
      <c r="P25" s="29" t="s">
        <v>728</v>
      </c>
      <c r="Q25" s="56"/>
      <c r="R25" s="56"/>
      <c r="U25" s="13" t="s">
        <v>571</v>
      </c>
      <c r="V25" s="13" t="s">
        <v>603</v>
      </c>
      <c r="W25" s="13"/>
    </row>
    <row r="26" spans="2:23" ht="16" x14ac:dyDescent="0.4">
      <c r="B26" s="2" t="s">
        <v>23</v>
      </c>
      <c r="C26" s="1">
        <v>2050</v>
      </c>
      <c r="D26" s="29" t="s">
        <v>692</v>
      </c>
      <c r="E26" s="29" t="s">
        <v>673</v>
      </c>
      <c r="F26" s="29">
        <v>3</v>
      </c>
      <c r="G26" s="55"/>
      <c r="H26" s="29" t="s">
        <v>663</v>
      </c>
      <c r="I26" s="29" t="s">
        <v>693</v>
      </c>
      <c r="J26" s="29" t="s">
        <v>655</v>
      </c>
      <c r="K26" s="29" t="s">
        <v>655</v>
      </c>
      <c r="L26" s="55"/>
      <c r="M26" s="29">
        <v>26</v>
      </c>
      <c r="N26" s="29" t="s">
        <v>693</v>
      </c>
      <c r="O26" s="29" t="s">
        <v>655</v>
      </c>
      <c r="P26" s="29" t="s">
        <v>669</v>
      </c>
      <c r="Q26" s="56"/>
      <c r="R26" s="56"/>
      <c r="U26" s="13"/>
      <c r="V26" s="13"/>
      <c r="W26" s="13"/>
    </row>
    <row r="27" spans="2:23" ht="16" x14ac:dyDescent="0.4">
      <c r="B27" s="2" t="s">
        <v>190</v>
      </c>
      <c r="C27" s="1">
        <v>2040</v>
      </c>
      <c r="D27" s="29" t="s">
        <v>692</v>
      </c>
      <c r="E27" s="29" t="s">
        <v>673</v>
      </c>
      <c r="F27" s="29" t="s">
        <v>693</v>
      </c>
      <c r="G27" s="55"/>
      <c r="H27" s="29" t="s">
        <v>663</v>
      </c>
      <c r="I27" s="29" t="s">
        <v>693</v>
      </c>
      <c r="J27" s="29" t="s">
        <v>706</v>
      </c>
      <c r="K27" s="29" t="s">
        <v>655</v>
      </c>
      <c r="L27" s="55"/>
      <c r="M27" s="29">
        <v>28</v>
      </c>
      <c r="N27" s="29" t="s">
        <v>667</v>
      </c>
      <c r="O27" s="29" t="s">
        <v>693</v>
      </c>
      <c r="P27" s="29" t="s">
        <v>663</v>
      </c>
      <c r="Q27" s="56"/>
      <c r="R27" s="56"/>
      <c r="U27" s="3" t="s">
        <v>573</v>
      </c>
      <c r="V27" s="13"/>
      <c r="W27" s="13"/>
    </row>
    <row r="28" spans="2:23" ht="16" x14ac:dyDescent="0.4">
      <c r="B28" s="2" t="s">
        <v>24</v>
      </c>
      <c r="C28" s="1">
        <v>2040</v>
      </c>
      <c r="D28" s="29" t="s">
        <v>692</v>
      </c>
      <c r="E28" s="29" t="s">
        <v>673</v>
      </c>
      <c r="F28" s="29">
        <v>5</v>
      </c>
      <c r="G28" s="55"/>
      <c r="H28" s="29" t="s">
        <v>704</v>
      </c>
      <c r="I28" s="29" t="s">
        <v>693</v>
      </c>
      <c r="J28" s="29" t="s">
        <v>655</v>
      </c>
      <c r="K28" s="29" t="s">
        <v>673</v>
      </c>
      <c r="L28" s="55"/>
      <c r="M28" s="29">
        <v>46</v>
      </c>
      <c r="N28" s="29" t="s">
        <v>703</v>
      </c>
      <c r="O28" s="29" t="s">
        <v>673</v>
      </c>
      <c r="P28" s="29" t="s">
        <v>669</v>
      </c>
      <c r="Q28" s="56"/>
      <c r="R28" s="56"/>
      <c r="U28" s="13" t="s">
        <v>574</v>
      </c>
      <c r="V28" s="13"/>
      <c r="W28" s="13"/>
    </row>
    <row r="29" spans="2:23" ht="16" x14ac:dyDescent="0.4">
      <c r="B29" s="2" t="s">
        <v>201</v>
      </c>
      <c r="C29" s="1">
        <v>2040</v>
      </c>
      <c r="D29" s="29" t="s">
        <v>692</v>
      </c>
      <c r="E29" s="29" t="s">
        <v>673</v>
      </c>
      <c r="F29" s="29">
        <v>5</v>
      </c>
      <c r="G29" s="55"/>
      <c r="H29" s="29" t="s">
        <v>704</v>
      </c>
      <c r="I29" s="29" t="s">
        <v>693</v>
      </c>
      <c r="J29" s="29" t="s">
        <v>673</v>
      </c>
      <c r="K29" s="29" t="s">
        <v>673</v>
      </c>
      <c r="L29" s="55"/>
      <c r="M29" s="29">
        <v>14</v>
      </c>
      <c r="N29" s="29" t="s">
        <v>702</v>
      </c>
      <c r="O29" s="29" t="s">
        <v>673</v>
      </c>
      <c r="P29" s="29" t="s">
        <v>669</v>
      </c>
      <c r="Q29" s="56"/>
      <c r="R29" s="56"/>
      <c r="V29" s="1"/>
    </row>
    <row r="30" spans="2:23" ht="16" x14ac:dyDescent="0.4">
      <c r="B30" s="2" t="s">
        <v>25</v>
      </c>
      <c r="C30" s="1">
        <v>2050</v>
      </c>
      <c r="D30" s="29" t="s">
        <v>692</v>
      </c>
      <c r="E30" s="29" t="s">
        <v>673</v>
      </c>
      <c r="F30" s="29">
        <v>3</v>
      </c>
      <c r="G30" s="55"/>
      <c r="H30" s="29" t="s">
        <v>663</v>
      </c>
      <c r="I30" s="29">
        <v>1.65</v>
      </c>
      <c r="J30" s="29" t="s">
        <v>655</v>
      </c>
      <c r="K30" s="29" t="s">
        <v>655</v>
      </c>
      <c r="L30" s="55"/>
      <c r="M30" s="29">
        <v>42</v>
      </c>
      <c r="N30" s="29" t="s">
        <v>693</v>
      </c>
      <c r="O30" s="29" t="s">
        <v>655</v>
      </c>
      <c r="P30" s="29" t="s">
        <v>669</v>
      </c>
      <c r="Q30" s="56"/>
      <c r="R30" s="56"/>
      <c r="V30" s="1"/>
    </row>
    <row r="31" spans="2:23" ht="16" x14ac:dyDescent="0.4">
      <c r="B31" s="2" t="s">
        <v>211</v>
      </c>
      <c r="C31" s="1">
        <v>2045</v>
      </c>
      <c r="D31" s="29" t="s">
        <v>692</v>
      </c>
      <c r="E31" s="29" t="s">
        <v>655</v>
      </c>
      <c r="F31" s="29" t="s">
        <v>693</v>
      </c>
      <c r="G31" s="55"/>
      <c r="H31" s="29" t="s">
        <v>663</v>
      </c>
      <c r="I31" s="29" t="s">
        <v>693</v>
      </c>
      <c r="J31" s="29" t="s">
        <v>655</v>
      </c>
      <c r="K31" s="29" t="s">
        <v>655</v>
      </c>
      <c r="L31" s="55"/>
      <c r="M31" s="29" t="s">
        <v>693</v>
      </c>
      <c r="N31" s="29" t="s">
        <v>703</v>
      </c>
      <c r="O31" s="29" t="s">
        <v>693</v>
      </c>
      <c r="P31" s="29" t="s">
        <v>669</v>
      </c>
      <c r="Q31" s="56"/>
      <c r="R31" s="56"/>
    </row>
    <row r="32" spans="2:23" ht="16" x14ac:dyDescent="0.4">
      <c r="B32" s="2" t="s">
        <v>217</v>
      </c>
      <c r="C32" s="1">
        <v>2050</v>
      </c>
      <c r="D32" s="29" t="s">
        <v>692</v>
      </c>
      <c r="E32" s="29" t="s">
        <v>655</v>
      </c>
      <c r="F32" s="29">
        <v>3</v>
      </c>
      <c r="G32" s="55"/>
      <c r="H32" s="29" t="s">
        <v>663</v>
      </c>
      <c r="I32" s="29" t="s">
        <v>693</v>
      </c>
      <c r="J32" s="29" t="s">
        <v>655</v>
      </c>
      <c r="K32" s="29" t="s">
        <v>673</v>
      </c>
      <c r="L32" s="55"/>
      <c r="M32" s="29">
        <v>25</v>
      </c>
      <c r="N32" s="29" t="s">
        <v>667</v>
      </c>
      <c r="O32" s="29" t="s">
        <v>655</v>
      </c>
      <c r="P32" s="29" t="s">
        <v>669</v>
      </c>
      <c r="Q32" s="56"/>
      <c r="R32" s="56"/>
    </row>
    <row r="33" spans="2:18" ht="16" x14ac:dyDescent="0.4">
      <c r="B33" s="2" t="s">
        <v>223</v>
      </c>
      <c r="C33" s="1">
        <v>2050</v>
      </c>
      <c r="D33" s="29" t="s">
        <v>700</v>
      </c>
      <c r="E33" s="29" t="s">
        <v>673</v>
      </c>
      <c r="F33" s="29">
        <v>3</v>
      </c>
      <c r="G33" s="55"/>
      <c r="H33" s="29" t="s">
        <v>663</v>
      </c>
      <c r="I33" s="29" t="s">
        <v>693</v>
      </c>
      <c r="J33" s="29" t="s">
        <v>655</v>
      </c>
      <c r="K33" s="29" t="s">
        <v>655</v>
      </c>
      <c r="L33" s="55"/>
      <c r="M33" s="29">
        <v>41</v>
      </c>
      <c r="N33" s="29" t="s">
        <v>702</v>
      </c>
      <c r="O33" s="29" t="s">
        <v>655</v>
      </c>
      <c r="P33" s="29" t="s">
        <v>669</v>
      </c>
      <c r="Q33" s="56"/>
      <c r="R33" s="56"/>
    </row>
    <row r="34" spans="2:18" ht="16" x14ac:dyDescent="0.4">
      <c r="B34" s="2" t="s">
        <v>27</v>
      </c>
      <c r="C34" s="1">
        <v>2050</v>
      </c>
      <c r="D34" s="29" t="s">
        <v>692</v>
      </c>
      <c r="E34" s="29" t="s">
        <v>673</v>
      </c>
      <c r="F34" s="29">
        <v>4</v>
      </c>
      <c r="G34" s="55"/>
      <c r="H34" s="29" t="s">
        <v>663</v>
      </c>
      <c r="I34" s="29" t="s">
        <v>693</v>
      </c>
      <c r="J34" s="29" t="s">
        <v>673</v>
      </c>
      <c r="K34" s="29" t="s">
        <v>655</v>
      </c>
      <c r="L34" s="55"/>
      <c r="M34" s="29">
        <v>71</v>
      </c>
      <c r="N34" s="29" t="s">
        <v>693</v>
      </c>
      <c r="O34" s="29" t="s">
        <v>673</v>
      </c>
      <c r="P34" s="29" t="s">
        <v>669</v>
      </c>
      <c r="Q34" s="56"/>
      <c r="R34" s="56"/>
    </row>
    <row r="35" spans="2:18" ht="16" x14ac:dyDescent="0.4">
      <c r="B35" s="2" t="s">
        <v>28</v>
      </c>
      <c r="C35" s="1">
        <v>2045</v>
      </c>
      <c r="D35" s="29" t="s">
        <v>692</v>
      </c>
      <c r="E35" s="29" t="s">
        <v>655</v>
      </c>
      <c r="F35" s="29" t="s">
        <v>693</v>
      </c>
      <c r="G35" s="55"/>
      <c r="H35" s="29" t="s">
        <v>663</v>
      </c>
      <c r="I35" s="29" t="s">
        <v>693</v>
      </c>
      <c r="J35" s="29" t="s">
        <v>655</v>
      </c>
      <c r="K35" s="29" t="s">
        <v>655</v>
      </c>
      <c r="L35" s="55"/>
      <c r="M35" s="29">
        <v>4</v>
      </c>
      <c r="N35" s="29" t="s">
        <v>704</v>
      </c>
      <c r="O35" s="29" t="s">
        <v>693</v>
      </c>
      <c r="P35" s="29" t="s">
        <v>663</v>
      </c>
      <c r="Q35" s="56"/>
      <c r="R35" s="56"/>
    </row>
    <row r="36" spans="2:18" ht="16" x14ac:dyDescent="0.4">
      <c r="B36" s="2" t="s">
        <v>236</v>
      </c>
      <c r="C36" s="1">
        <v>2050</v>
      </c>
      <c r="D36" s="29" t="s">
        <v>700</v>
      </c>
      <c r="E36" s="29" t="s">
        <v>655</v>
      </c>
      <c r="F36" s="29">
        <v>3</v>
      </c>
      <c r="G36" s="55"/>
      <c r="H36" s="29" t="s">
        <v>663</v>
      </c>
      <c r="I36" s="29" t="s">
        <v>693</v>
      </c>
      <c r="J36" s="29" t="s">
        <v>655</v>
      </c>
      <c r="K36" s="29" t="s">
        <v>673</v>
      </c>
      <c r="L36" s="55"/>
      <c r="M36" s="29">
        <v>98</v>
      </c>
      <c r="N36" s="29" t="s">
        <v>703</v>
      </c>
      <c r="O36" s="29" t="s">
        <v>655</v>
      </c>
      <c r="P36" s="29" t="s">
        <v>669</v>
      </c>
      <c r="Q36" s="56"/>
      <c r="R36" s="56"/>
    </row>
    <row r="37" spans="2:18" ht="16" x14ac:dyDescent="0.4">
      <c r="B37" s="2" t="s">
        <v>29</v>
      </c>
      <c r="C37" s="1">
        <v>2035</v>
      </c>
      <c r="D37" s="29" t="s">
        <v>692</v>
      </c>
      <c r="E37" s="29" t="s">
        <v>655</v>
      </c>
      <c r="F37" s="29" t="s">
        <v>693</v>
      </c>
      <c r="G37" s="55"/>
      <c r="H37" s="29" t="s">
        <v>663</v>
      </c>
      <c r="I37" s="29" t="s">
        <v>693</v>
      </c>
      <c r="J37" s="29" t="s">
        <v>655</v>
      </c>
      <c r="K37" s="29" t="s">
        <v>655</v>
      </c>
      <c r="L37" s="55"/>
      <c r="M37" s="29">
        <v>42</v>
      </c>
      <c r="N37" s="29" t="s">
        <v>703</v>
      </c>
      <c r="O37" s="29" t="s">
        <v>693</v>
      </c>
      <c r="P37" s="29" t="s">
        <v>669</v>
      </c>
      <c r="Q37" s="56"/>
      <c r="R37" s="56"/>
    </row>
    <row r="38" spans="2:18" ht="16" x14ac:dyDescent="0.4">
      <c r="B38" s="2" t="s">
        <v>694</v>
      </c>
      <c r="C38" s="1">
        <v>2050</v>
      </c>
      <c r="D38" s="29" t="s">
        <v>692</v>
      </c>
      <c r="E38" s="29" t="s">
        <v>655</v>
      </c>
      <c r="F38" s="29">
        <v>5</v>
      </c>
      <c r="G38" s="55"/>
      <c r="H38" s="29" t="s">
        <v>704</v>
      </c>
      <c r="I38" s="29" t="s">
        <v>693</v>
      </c>
      <c r="J38" s="29" t="s">
        <v>655</v>
      </c>
      <c r="K38" s="29" t="s">
        <v>673</v>
      </c>
      <c r="L38" s="55"/>
      <c r="M38" s="29">
        <v>5</v>
      </c>
      <c r="N38" s="29" t="s">
        <v>693</v>
      </c>
      <c r="O38" s="29" t="s">
        <v>673</v>
      </c>
      <c r="P38" s="29" t="s">
        <v>728</v>
      </c>
      <c r="Q38" s="56"/>
      <c r="R38" s="56"/>
    </row>
    <row r="39" spans="2:18" ht="16" x14ac:dyDescent="0.4">
      <c r="B39" s="2" t="s">
        <v>30</v>
      </c>
      <c r="C39" s="1">
        <v>2050</v>
      </c>
      <c r="D39" s="29" t="s">
        <v>699</v>
      </c>
      <c r="E39" s="29" t="s">
        <v>673</v>
      </c>
      <c r="F39" s="29" t="s">
        <v>693</v>
      </c>
      <c r="G39" s="55"/>
      <c r="H39" s="29" t="s">
        <v>663</v>
      </c>
      <c r="I39" s="29" t="s">
        <v>693</v>
      </c>
      <c r="J39" s="29" t="s">
        <v>655</v>
      </c>
      <c r="K39" s="29" t="s">
        <v>655</v>
      </c>
      <c r="L39" s="55"/>
      <c r="M39" s="29">
        <v>28</v>
      </c>
      <c r="N39" s="29" t="s">
        <v>667</v>
      </c>
      <c r="O39" s="29" t="s">
        <v>693</v>
      </c>
      <c r="P39" s="29" t="s">
        <v>669</v>
      </c>
      <c r="Q39" s="56"/>
      <c r="R39" s="56"/>
    </row>
    <row r="40" spans="2:18" ht="16" x14ac:dyDescent="0.4">
      <c r="B40" s="2" t="s">
        <v>31</v>
      </c>
      <c r="C40" s="1">
        <v>2050</v>
      </c>
      <c r="D40" s="29" t="s">
        <v>699</v>
      </c>
      <c r="E40" s="29" t="s">
        <v>655</v>
      </c>
      <c r="F40" s="29" t="s">
        <v>693</v>
      </c>
      <c r="G40" s="55"/>
      <c r="H40" s="29" t="s">
        <v>663</v>
      </c>
      <c r="I40" s="29" t="s">
        <v>693</v>
      </c>
      <c r="J40" s="29" t="s">
        <v>655</v>
      </c>
      <c r="K40" s="29" t="s">
        <v>655</v>
      </c>
      <c r="L40" s="55"/>
      <c r="M40" s="29" t="s">
        <v>693</v>
      </c>
      <c r="N40" s="29" t="s">
        <v>693</v>
      </c>
      <c r="O40" s="29" t="s">
        <v>693</v>
      </c>
      <c r="P40" s="29" t="s">
        <v>663</v>
      </c>
      <c r="Q40" s="56"/>
      <c r="R40" s="56"/>
    </row>
    <row r="41" spans="2:18" ht="16" x14ac:dyDescent="0.4">
      <c r="B41" s="2" t="s">
        <v>32</v>
      </c>
      <c r="C41" s="1">
        <v>2030</v>
      </c>
      <c r="D41" s="29" t="s">
        <v>699</v>
      </c>
      <c r="E41" s="29" t="s">
        <v>655</v>
      </c>
      <c r="F41" s="29" t="s">
        <v>693</v>
      </c>
      <c r="G41" s="55"/>
      <c r="H41" s="29" t="s">
        <v>663</v>
      </c>
      <c r="I41" s="29" t="s">
        <v>693</v>
      </c>
      <c r="J41" s="29" t="s">
        <v>655</v>
      </c>
      <c r="K41" s="29" t="s">
        <v>655</v>
      </c>
      <c r="L41" s="55"/>
      <c r="M41" s="29">
        <v>2</v>
      </c>
      <c r="N41" s="29" t="s">
        <v>704</v>
      </c>
      <c r="O41" s="29" t="s">
        <v>693</v>
      </c>
      <c r="P41" s="29" t="s">
        <v>669</v>
      </c>
      <c r="Q41" s="56"/>
      <c r="R41" s="56"/>
    </row>
    <row r="42" spans="2:18" ht="16" x14ac:dyDescent="0.4">
      <c r="B42" s="2" t="s">
        <v>33</v>
      </c>
      <c r="C42" s="1">
        <v>2050</v>
      </c>
      <c r="D42" s="29" t="s">
        <v>699</v>
      </c>
      <c r="E42" s="29" t="s">
        <v>655</v>
      </c>
      <c r="F42" s="29" t="s">
        <v>693</v>
      </c>
      <c r="G42" s="55"/>
      <c r="H42" s="29" t="s">
        <v>663</v>
      </c>
      <c r="I42" s="29" t="s">
        <v>693</v>
      </c>
      <c r="J42" s="29" t="s">
        <v>655</v>
      </c>
      <c r="K42" s="29" t="s">
        <v>655</v>
      </c>
      <c r="L42" s="55"/>
      <c r="M42" s="29">
        <v>1</v>
      </c>
      <c r="N42" s="29" t="s">
        <v>693</v>
      </c>
      <c r="O42" s="29" t="s">
        <v>693</v>
      </c>
      <c r="P42" s="29" t="s">
        <v>663</v>
      </c>
      <c r="Q42" s="56"/>
      <c r="R42" s="56"/>
    </row>
    <row r="43" spans="2:18" ht="16" x14ac:dyDescent="0.4">
      <c r="B43" s="2" t="s">
        <v>34</v>
      </c>
      <c r="C43" s="1">
        <v>2050</v>
      </c>
      <c r="D43" s="29" t="s">
        <v>692</v>
      </c>
      <c r="E43" s="29" t="s">
        <v>655</v>
      </c>
      <c r="F43" s="29">
        <v>4</v>
      </c>
      <c r="G43" s="55"/>
      <c r="H43" s="29" t="s">
        <v>703</v>
      </c>
      <c r="I43" s="29" t="s">
        <v>693</v>
      </c>
      <c r="J43" s="29" t="s">
        <v>655</v>
      </c>
      <c r="K43" s="29" t="s">
        <v>655</v>
      </c>
      <c r="L43" s="55"/>
      <c r="M43" s="29">
        <v>70</v>
      </c>
      <c r="N43" s="29" t="s">
        <v>693</v>
      </c>
      <c r="O43" s="29" t="s">
        <v>673</v>
      </c>
      <c r="P43" s="29" t="s">
        <v>669</v>
      </c>
      <c r="Q43" s="56"/>
      <c r="R43" s="56"/>
    </row>
    <row r="44" spans="2:18" ht="16" x14ac:dyDescent="0.4">
      <c r="B44" s="2" t="s">
        <v>269</v>
      </c>
      <c r="C44" s="1">
        <v>2045</v>
      </c>
      <c r="D44" s="29" t="s">
        <v>692</v>
      </c>
      <c r="E44" s="29" t="s">
        <v>655</v>
      </c>
      <c r="F44" s="29">
        <v>5</v>
      </c>
      <c r="G44" s="55"/>
      <c r="H44" s="29" t="s">
        <v>704</v>
      </c>
      <c r="I44" s="29" t="s">
        <v>693</v>
      </c>
      <c r="J44" s="29" t="s">
        <v>655</v>
      </c>
      <c r="K44" s="29" t="s">
        <v>673</v>
      </c>
      <c r="L44" s="55"/>
      <c r="M44" s="29">
        <v>54</v>
      </c>
      <c r="N44" s="29" t="s">
        <v>702</v>
      </c>
      <c r="O44" s="29" t="s">
        <v>673</v>
      </c>
      <c r="P44" s="29" t="s">
        <v>669</v>
      </c>
      <c r="Q44" s="56"/>
      <c r="R44" s="56"/>
    </row>
    <row r="45" spans="2:18" ht="16" x14ac:dyDescent="0.4">
      <c r="B45" s="2" t="s">
        <v>35</v>
      </c>
      <c r="C45" s="1">
        <v>2040</v>
      </c>
      <c r="D45" s="29" t="s">
        <v>692</v>
      </c>
      <c r="E45" s="29" t="s">
        <v>655</v>
      </c>
      <c r="F45" s="29">
        <v>3</v>
      </c>
      <c r="G45" s="55"/>
      <c r="H45" s="29" t="s">
        <v>703</v>
      </c>
      <c r="I45" s="29" t="s">
        <v>693</v>
      </c>
      <c r="J45" s="29" t="s">
        <v>655</v>
      </c>
      <c r="K45" s="29" t="s">
        <v>673</v>
      </c>
      <c r="L45" s="55"/>
      <c r="M45" s="29">
        <v>76</v>
      </c>
      <c r="N45" s="29" t="s">
        <v>703</v>
      </c>
      <c r="O45" s="29" t="s">
        <v>673</v>
      </c>
      <c r="P45" s="29" t="s">
        <v>669</v>
      </c>
      <c r="Q45" s="56"/>
      <c r="R45" s="56"/>
    </row>
    <row r="46" spans="2:18" ht="16" x14ac:dyDescent="0.4">
      <c r="B46" s="2" t="s">
        <v>36</v>
      </c>
      <c r="C46" s="1">
        <v>2040</v>
      </c>
      <c r="D46" s="29" t="s">
        <v>692</v>
      </c>
      <c r="E46" s="29" t="s">
        <v>655</v>
      </c>
      <c r="F46" s="29" t="s">
        <v>693</v>
      </c>
      <c r="G46" s="55"/>
      <c r="H46" s="29" t="s">
        <v>663</v>
      </c>
      <c r="I46" s="29" t="s">
        <v>693</v>
      </c>
      <c r="J46" s="29" t="s">
        <v>655</v>
      </c>
      <c r="K46" s="29" t="s">
        <v>655</v>
      </c>
      <c r="L46" s="55"/>
      <c r="M46" s="29">
        <v>33</v>
      </c>
      <c r="N46" s="29" t="s">
        <v>703</v>
      </c>
      <c r="O46" s="29" t="s">
        <v>693</v>
      </c>
      <c r="P46" s="29" t="s">
        <v>669</v>
      </c>
      <c r="Q46" s="56"/>
      <c r="R46" s="56"/>
    </row>
    <row r="47" spans="2:18" ht="16" x14ac:dyDescent="0.4">
      <c r="B47" s="2" t="s">
        <v>282</v>
      </c>
      <c r="C47" s="1">
        <v>2050</v>
      </c>
      <c r="D47" s="29" t="s">
        <v>692</v>
      </c>
      <c r="E47" s="29" t="s">
        <v>655</v>
      </c>
      <c r="F47" s="29" t="s">
        <v>693</v>
      </c>
      <c r="G47" s="55"/>
      <c r="H47" s="29" t="s">
        <v>663</v>
      </c>
      <c r="I47" s="29" t="s">
        <v>693</v>
      </c>
      <c r="J47" s="29" t="s">
        <v>655</v>
      </c>
      <c r="K47" s="29" t="s">
        <v>655</v>
      </c>
      <c r="L47" s="55"/>
      <c r="M47" s="29">
        <v>1</v>
      </c>
      <c r="N47" s="29" t="s">
        <v>693</v>
      </c>
      <c r="O47" s="29" t="s">
        <v>693</v>
      </c>
      <c r="P47" s="29" t="s">
        <v>663</v>
      </c>
      <c r="Q47" s="56"/>
      <c r="R47" s="56"/>
    </row>
    <row r="48" spans="2:18" ht="16" x14ac:dyDescent="0.4">
      <c r="B48" s="2" t="s">
        <v>287</v>
      </c>
      <c r="C48" s="1">
        <v>2030</v>
      </c>
      <c r="D48" s="29" t="s">
        <v>699</v>
      </c>
      <c r="E48" s="29" t="s">
        <v>655</v>
      </c>
      <c r="F48" s="29" t="s">
        <v>693</v>
      </c>
      <c r="G48" s="55"/>
      <c r="H48" s="29" t="s">
        <v>663</v>
      </c>
      <c r="I48" s="29" t="s">
        <v>693</v>
      </c>
      <c r="J48" s="29" t="s">
        <v>655</v>
      </c>
      <c r="K48" s="29" t="s">
        <v>655</v>
      </c>
      <c r="L48" s="55"/>
      <c r="M48" s="29">
        <v>53</v>
      </c>
      <c r="N48" s="29" t="s">
        <v>703</v>
      </c>
      <c r="O48" s="29" t="s">
        <v>693</v>
      </c>
      <c r="P48" s="29" t="s">
        <v>669</v>
      </c>
      <c r="Q48" s="56"/>
      <c r="R48" s="56"/>
    </row>
    <row r="49" spans="2:18" ht="16" x14ac:dyDescent="0.4">
      <c r="B49" s="2" t="s">
        <v>37</v>
      </c>
      <c r="C49" s="1">
        <v>2050</v>
      </c>
      <c r="D49" s="29" t="s">
        <v>699</v>
      </c>
      <c r="E49" s="29" t="s">
        <v>655</v>
      </c>
      <c r="F49" s="29" t="s">
        <v>693</v>
      </c>
      <c r="G49" s="55"/>
      <c r="H49" s="29" t="s">
        <v>663</v>
      </c>
      <c r="I49" s="29" t="s">
        <v>693</v>
      </c>
      <c r="J49" s="29" t="s">
        <v>655</v>
      </c>
      <c r="K49" s="29" t="s">
        <v>655</v>
      </c>
      <c r="L49" s="55"/>
      <c r="M49" s="29">
        <v>1</v>
      </c>
      <c r="N49" s="29" t="s">
        <v>703</v>
      </c>
      <c r="O49" s="29" t="s">
        <v>693</v>
      </c>
      <c r="P49" s="29" t="s">
        <v>663</v>
      </c>
      <c r="Q49" s="56"/>
      <c r="R49" s="56"/>
    </row>
    <row r="50" spans="2:18" ht="16" x14ac:dyDescent="0.4">
      <c r="B50" s="2" t="s">
        <v>297</v>
      </c>
      <c r="C50" s="1">
        <v>2050</v>
      </c>
      <c r="D50" s="29" t="s">
        <v>692</v>
      </c>
      <c r="E50" s="29" t="s">
        <v>655</v>
      </c>
      <c r="F50" s="29" t="s">
        <v>693</v>
      </c>
      <c r="G50" s="55"/>
      <c r="H50" s="29" t="s">
        <v>663</v>
      </c>
      <c r="I50" s="29" t="s">
        <v>693</v>
      </c>
      <c r="J50" s="29" t="s">
        <v>655</v>
      </c>
      <c r="K50" s="29" t="s">
        <v>655</v>
      </c>
      <c r="L50" s="55"/>
      <c r="M50" s="29">
        <v>10</v>
      </c>
      <c r="N50" s="29" t="s">
        <v>703</v>
      </c>
      <c r="O50" s="29" t="s">
        <v>693</v>
      </c>
      <c r="P50" s="29" t="s">
        <v>663</v>
      </c>
      <c r="Q50" s="56"/>
      <c r="R50" s="56"/>
    </row>
    <row r="51" spans="2:18" ht="16" x14ac:dyDescent="0.4">
      <c r="B51" s="2" t="s">
        <v>38</v>
      </c>
      <c r="C51" s="1">
        <v>2050</v>
      </c>
      <c r="D51" s="29" t="s">
        <v>700</v>
      </c>
      <c r="E51" s="29" t="s">
        <v>655</v>
      </c>
      <c r="F51" s="29">
        <v>3</v>
      </c>
      <c r="G51" s="55"/>
      <c r="H51" s="29" t="s">
        <v>704</v>
      </c>
      <c r="I51" s="29">
        <v>0.19</v>
      </c>
      <c r="J51" s="29" t="s">
        <v>673</v>
      </c>
      <c r="K51" s="29" t="s">
        <v>655</v>
      </c>
      <c r="L51" s="55"/>
      <c r="M51" s="29">
        <v>31</v>
      </c>
      <c r="N51" s="29" t="s">
        <v>693</v>
      </c>
      <c r="O51" s="29" t="s">
        <v>673</v>
      </c>
      <c r="P51" s="29" t="s">
        <v>669</v>
      </c>
      <c r="Q51" s="56"/>
      <c r="R51" s="56"/>
    </row>
    <row r="52" spans="2:18" ht="16" x14ac:dyDescent="0.4">
      <c r="B52" s="2" t="s">
        <v>307</v>
      </c>
      <c r="C52" s="1">
        <v>2040</v>
      </c>
      <c r="D52" s="29" t="s">
        <v>692</v>
      </c>
      <c r="E52" s="29" t="s">
        <v>655</v>
      </c>
      <c r="F52" s="29" t="s">
        <v>693</v>
      </c>
      <c r="G52" s="55"/>
      <c r="H52" s="29" t="s">
        <v>663</v>
      </c>
      <c r="I52" s="29" t="s">
        <v>693</v>
      </c>
      <c r="J52" s="29" t="s">
        <v>655</v>
      </c>
      <c r="K52" s="29" t="s">
        <v>655</v>
      </c>
      <c r="L52" s="55"/>
      <c r="M52" s="29">
        <v>1</v>
      </c>
      <c r="N52" s="29" t="s">
        <v>703</v>
      </c>
      <c r="O52" s="29" t="s">
        <v>693</v>
      </c>
      <c r="P52" s="29" t="s">
        <v>663</v>
      </c>
      <c r="Q52" s="56"/>
      <c r="R52" s="56"/>
    </row>
    <row r="53" spans="2:18" ht="16" x14ac:dyDescent="0.4">
      <c r="B53" s="2" t="s">
        <v>40</v>
      </c>
      <c r="C53" s="1">
        <v>2050</v>
      </c>
      <c r="D53" s="29" t="s">
        <v>692</v>
      </c>
      <c r="E53" s="29" t="s">
        <v>655</v>
      </c>
      <c r="F53" s="29">
        <v>3</v>
      </c>
      <c r="G53" s="55"/>
      <c r="H53" s="29" t="s">
        <v>663</v>
      </c>
      <c r="I53" s="29" t="s">
        <v>693</v>
      </c>
      <c r="J53" s="29" t="s">
        <v>655</v>
      </c>
      <c r="K53" s="29" t="s">
        <v>673</v>
      </c>
      <c r="L53" s="55"/>
      <c r="M53" s="29">
        <v>38</v>
      </c>
      <c r="N53" s="29" t="s">
        <v>702</v>
      </c>
      <c r="O53" s="29" t="s">
        <v>673</v>
      </c>
      <c r="P53" s="29" t="s">
        <v>669</v>
      </c>
      <c r="Q53" s="56"/>
      <c r="R53" s="56"/>
    </row>
    <row r="54" spans="2:18" ht="16" x14ac:dyDescent="0.4">
      <c r="B54" s="2" t="s">
        <v>41</v>
      </c>
      <c r="C54" s="1">
        <v>2050</v>
      </c>
      <c r="D54" s="29" t="s">
        <v>699</v>
      </c>
      <c r="E54" s="29" t="s">
        <v>673</v>
      </c>
      <c r="F54" s="29" t="s">
        <v>693</v>
      </c>
      <c r="G54" s="55"/>
      <c r="H54" s="29" t="s">
        <v>663</v>
      </c>
      <c r="I54" s="29" t="s">
        <v>693</v>
      </c>
      <c r="J54" s="29" t="s">
        <v>655</v>
      </c>
      <c r="K54" s="29" t="s">
        <v>655</v>
      </c>
      <c r="L54" s="55"/>
      <c r="M54" s="29">
        <v>56</v>
      </c>
      <c r="N54" s="29" t="s">
        <v>693</v>
      </c>
      <c r="O54" s="29" t="s">
        <v>693</v>
      </c>
      <c r="P54" s="29" t="s">
        <v>669</v>
      </c>
      <c r="Q54" s="56"/>
      <c r="R54" s="56"/>
    </row>
    <row r="55" spans="2:18" ht="16" x14ac:dyDescent="0.4">
      <c r="B55" s="2" t="s">
        <v>320</v>
      </c>
      <c r="C55" s="1">
        <v>2050</v>
      </c>
      <c r="D55" s="29" t="s">
        <v>692</v>
      </c>
      <c r="E55" s="29" t="s">
        <v>673</v>
      </c>
      <c r="F55" s="29">
        <v>4</v>
      </c>
      <c r="G55" s="55"/>
      <c r="H55" s="29" t="s">
        <v>663</v>
      </c>
      <c r="I55" s="29" t="s">
        <v>693</v>
      </c>
      <c r="J55" s="29" t="s">
        <v>655</v>
      </c>
      <c r="K55" s="29" t="s">
        <v>655</v>
      </c>
      <c r="L55" s="55"/>
      <c r="M55" s="29">
        <v>65</v>
      </c>
      <c r="N55" s="29" t="s">
        <v>693</v>
      </c>
      <c r="O55" s="29" t="s">
        <v>673</v>
      </c>
      <c r="P55" s="29" t="s">
        <v>663</v>
      </c>
      <c r="Q55" s="56"/>
      <c r="R55" s="56"/>
    </row>
    <row r="56" spans="2:18" ht="16" x14ac:dyDescent="0.4">
      <c r="B56" s="2" t="s">
        <v>42</v>
      </c>
      <c r="C56" s="1">
        <v>2050</v>
      </c>
      <c r="D56" s="29" t="s">
        <v>699</v>
      </c>
      <c r="E56" s="29" t="s">
        <v>655</v>
      </c>
      <c r="F56" s="29" t="s">
        <v>693</v>
      </c>
      <c r="G56" s="55"/>
      <c r="H56" s="29" t="s">
        <v>663</v>
      </c>
      <c r="I56" s="29">
        <v>0.56000000000000005</v>
      </c>
      <c r="J56" s="29" t="s">
        <v>655</v>
      </c>
      <c r="K56" s="29" t="s">
        <v>655</v>
      </c>
      <c r="L56" s="55"/>
      <c r="M56" s="29">
        <v>69</v>
      </c>
      <c r="N56" s="29" t="s">
        <v>667</v>
      </c>
      <c r="O56" s="29" t="s">
        <v>693</v>
      </c>
      <c r="P56" s="29" t="s">
        <v>669</v>
      </c>
      <c r="Q56" s="56"/>
      <c r="R56" s="56"/>
    </row>
    <row r="57" spans="2:18" ht="16" x14ac:dyDescent="0.4">
      <c r="B57" s="2" t="s">
        <v>329</v>
      </c>
      <c r="C57" s="1">
        <v>2050</v>
      </c>
      <c r="D57" s="29" t="s">
        <v>700</v>
      </c>
      <c r="E57" s="29" t="s">
        <v>673</v>
      </c>
      <c r="F57" s="29">
        <v>3</v>
      </c>
      <c r="G57" s="55"/>
      <c r="H57" s="29" t="s">
        <v>663</v>
      </c>
      <c r="I57" s="29" t="s">
        <v>693</v>
      </c>
      <c r="J57" s="29" t="s">
        <v>655</v>
      </c>
      <c r="K57" s="29" t="s">
        <v>655</v>
      </c>
      <c r="L57" s="55"/>
      <c r="M57" s="29">
        <v>136</v>
      </c>
      <c r="N57" s="29" t="s">
        <v>667</v>
      </c>
      <c r="O57" s="29" t="s">
        <v>673</v>
      </c>
      <c r="P57" s="29" t="s">
        <v>669</v>
      </c>
      <c r="Q57" s="56"/>
      <c r="R57" s="56"/>
    </row>
    <row r="58" spans="2:18" ht="16" x14ac:dyDescent="0.4">
      <c r="B58" s="2" t="s">
        <v>334</v>
      </c>
      <c r="C58" s="1">
        <v>2050</v>
      </c>
      <c r="D58" s="29" t="s">
        <v>692</v>
      </c>
      <c r="E58" s="29" t="s">
        <v>655</v>
      </c>
      <c r="F58" s="29" t="s">
        <v>693</v>
      </c>
      <c r="G58" s="55"/>
      <c r="H58" s="29" t="s">
        <v>703</v>
      </c>
      <c r="I58" s="29">
        <v>0.55000000000000004</v>
      </c>
      <c r="J58" s="29" t="s">
        <v>655</v>
      </c>
      <c r="K58" s="29" t="s">
        <v>655</v>
      </c>
      <c r="L58" s="55"/>
      <c r="M58" s="29">
        <v>80</v>
      </c>
      <c r="N58" s="29" t="s">
        <v>693</v>
      </c>
      <c r="O58" s="29" t="s">
        <v>693</v>
      </c>
      <c r="P58" s="29" t="s">
        <v>663</v>
      </c>
      <c r="Q58" s="56"/>
      <c r="R58" s="56"/>
    </row>
    <row r="59" spans="2:18" ht="16" x14ac:dyDescent="0.4">
      <c r="B59" s="2" t="s">
        <v>43</v>
      </c>
      <c r="C59" s="1">
        <v>2050</v>
      </c>
      <c r="D59" s="29" t="s">
        <v>700</v>
      </c>
      <c r="E59" s="29" t="s">
        <v>655</v>
      </c>
      <c r="F59" s="29">
        <v>3</v>
      </c>
      <c r="G59" s="55"/>
      <c r="H59" s="29" t="s">
        <v>663</v>
      </c>
      <c r="I59" s="29" t="s">
        <v>693</v>
      </c>
      <c r="J59" s="29" t="s">
        <v>673</v>
      </c>
      <c r="K59" s="29" t="s">
        <v>655</v>
      </c>
      <c r="L59" s="55"/>
      <c r="M59" s="29">
        <v>1</v>
      </c>
      <c r="N59" s="29" t="s">
        <v>702</v>
      </c>
      <c r="O59" s="29" t="s">
        <v>655</v>
      </c>
      <c r="P59" s="29"/>
      <c r="Q59" s="56"/>
      <c r="R59" s="56"/>
    </row>
    <row r="60" spans="2:18" ht="16" x14ac:dyDescent="0.4">
      <c r="B60" s="2" t="s">
        <v>44</v>
      </c>
      <c r="C60" s="1">
        <v>2050</v>
      </c>
      <c r="D60" s="29" t="s">
        <v>692</v>
      </c>
      <c r="E60" s="29" t="s">
        <v>673</v>
      </c>
      <c r="F60" s="29">
        <v>4</v>
      </c>
      <c r="G60" s="55"/>
      <c r="H60" s="29" t="s">
        <v>703</v>
      </c>
      <c r="I60" s="29" t="s">
        <v>693</v>
      </c>
      <c r="J60" s="29" t="s">
        <v>655</v>
      </c>
      <c r="K60" s="29" t="s">
        <v>655</v>
      </c>
      <c r="L60" s="55"/>
      <c r="M60" s="29">
        <v>49</v>
      </c>
      <c r="N60" s="29" t="s">
        <v>702</v>
      </c>
      <c r="O60" s="29" t="s">
        <v>673</v>
      </c>
      <c r="P60" s="29"/>
      <c r="Q60" s="56"/>
      <c r="R60" s="56"/>
    </row>
    <row r="61" spans="2:18" ht="16" x14ac:dyDescent="0.4">
      <c r="B61" s="2" t="s">
        <v>707</v>
      </c>
      <c r="C61" s="1">
        <v>2050</v>
      </c>
      <c r="D61" s="29" t="s">
        <v>692</v>
      </c>
      <c r="E61" s="29" t="s">
        <v>673</v>
      </c>
      <c r="F61" s="29" t="s">
        <v>693</v>
      </c>
      <c r="G61" s="55"/>
      <c r="H61" s="29" t="s">
        <v>663</v>
      </c>
      <c r="I61" s="29" t="s">
        <v>693</v>
      </c>
      <c r="J61" s="29" t="s">
        <v>673</v>
      </c>
      <c r="K61" s="29" t="s">
        <v>655</v>
      </c>
      <c r="L61" s="55"/>
      <c r="M61" s="29">
        <v>58</v>
      </c>
      <c r="N61" s="29" t="s">
        <v>693</v>
      </c>
      <c r="O61" s="29" t="s">
        <v>693</v>
      </c>
      <c r="P61" s="29" t="s">
        <v>669</v>
      </c>
      <c r="Q61" s="56"/>
      <c r="R61" s="56"/>
    </row>
    <row r="62" spans="2:18" ht="16" x14ac:dyDescent="0.4">
      <c r="B62" s="2" t="s">
        <v>46</v>
      </c>
      <c r="C62" s="1">
        <v>2050</v>
      </c>
      <c r="D62" s="29" t="s">
        <v>699</v>
      </c>
      <c r="E62" s="29" t="s">
        <v>655</v>
      </c>
      <c r="F62" s="29" t="s">
        <v>693</v>
      </c>
      <c r="G62" s="55"/>
      <c r="H62" s="29" t="s">
        <v>703</v>
      </c>
      <c r="I62" s="29" t="s">
        <v>693</v>
      </c>
      <c r="J62" s="29" t="s">
        <v>655</v>
      </c>
      <c r="K62" s="29" t="s">
        <v>655</v>
      </c>
      <c r="L62" s="55"/>
      <c r="M62" s="29">
        <v>73</v>
      </c>
      <c r="N62" s="29" t="s">
        <v>702</v>
      </c>
      <c r="O62" s="29" t="s">
        <v>693</v>
      </c>
      <c r="P62" s="29" t="s">
        <v>663</v>
      </c>
      <c r="Q62" s="56"/>
      <c r="R62" s="56"/>
    </row>
    <row r="63" spans="2:18" ht="16" x14ac:dyDescent="0.4">
      <c r="B63" s="2" t="s">
        <v>47</v>
      </c>
      <c r="C63" s="1">
        <v>2050</v>
      </c>
      <c r="D63" s="29" t="s">
        <v>692</v>
      </c>
      <c r="E63" s="29" t="s">
        <v>673</v>
      </c>
      <c r="F63" s="29">
        <v>4</v>
      </c>
      <c r="G63" s="55"/>
      <c r="H63" s="29" t="s">
        <v>704</v>
      </c>
      <c r="I63" s="29">
        <v>4.3499999999999996</v>
      </c>
      <c r="J63" s="29" t="s">
        <v>673</v>
      </c>
      <c r="K63" s="29" t="s">
        <v>655</v>
      </c>
      <c r="L63" s="55"/>
      <c r="M63" s="29">
        <v>145</v>
      </c>
      <c r="N63" s="29" t="s">
        <v>667</v>
      </c>
      <c r="O63" s="29" t="s">
        <v>673</v>
      </c>
      <c r="P63" s="29" t="s">
        <v>669</v>
      </c>
      <c r="Q63" s="56"/>
      <c r="R63" s="56"/>
    </row>
    <row r="64" spans="2:18" ht="16" x14ac:dyDescent="0.4">
      <c r="B64" s="2" t="s">
        <v>362</v>
      </c>
      <c r="C64" s="1">
        <v>2050</v>
      </c>
      <c r="D64" s="29" t="s">
        <v>692</v>
      </c>
      <c r="E64" s="29" t="s">
        <v>655</v>
      </c>
      <c r="F64" s="29" t="s">
        <v>693</v>
      </c>
      <c r="G64" s="55"/>
      <c r="H64" s="29" t="s">
        <v>663</v>
      </c>
      <c r="I64" s="29">
        <v>0.67</v>
      </c>
      <c r="J64" s="29" t="s">
        <v>655</v>
      </c>
      <c r="K64" s="29" t="s">
        <v>655</v>
      </c>
      <c r="L64" s="55"/>
      <c r="M64" s="29">
        <v>40</v>
      </c>
      <c r="N64" s="29" t="s">
        <v>667</v>
      </c>
      <c r="O64" s="29" t="s">
        <v>693</v>
      </c>
      <c r="P64" s="29" t="s">
        <v>669</v>
      </c>
      <c r="Q64" s="56"/>
      <c r="R64" s="56"/>
    </row>
    <row r="65" spans="2:18" ht="16" x14ac:dyDescent="0.4">
      <c r="B65" s="2" t="s">
        <v>367</v>
      </c>
      <c r="C65" s="1">
        <v>2050</v>
      </c>
      <c r="D65" s="29" t="s">
        <v>692</v>
      </c>
      <c r="E65" s="29" t="s">
        <v>673</v>
      </c>
      <c r="F65" s="29">
        <v>5</v>
      </c>
      <c r="G65" s="55"/>
      <c r="H65" s="29" t="s">
        <v>704</v>
      </c>
      <c r="I65" s="29" t="s">
        <v>693</v>
      </c>
      <c r="J65" s="29" t="s">
        <v>673</v>
      </c>
      <c r="K65" s="29" t="s">
        <v>673</v>
      </c>
      <c r="L65" s="55"/>
      <c r="M65" s="29">
        <v>59</v>
      </c>
      <c r="N65" s="29" t="s">
        <v>667</v>
      </c>
      <c r="O65" s="29" t="s">
        <v>673</v>
      </c>
      <c r="P65" s="29" t="s">
        <v>669</v>
      </c>
      <c r="Q65" s="56"/>
      <c r="R65" s="56"/>
    </row>
    <row r="66" spans="2:18" ht="16" x14ac:dyDescent="0.4">
      <c r="B66" s="2" t="s">
        <v>48</v>
      </c>
      <c r="C66" s="1">
        <v>2050</v>
      </c>
      <c r="D66" s="29" t="s">
        <v>699</v>
      </c>
      <c r="E66" s="29" t="s">
        <v>655</v>
      </c>
      <c r="F66" s="29" t="s">
        <v>693</v>
      </c>
      <c r="G66" s="55"/>
      <c r="H66" s="29" t="s">
        <v>663</v>
      </c>
      <c r="I66" s="29" t="s">
        <v>693</v>
      </c>
      <c r="J66" s="29" t="s">
        <v>673</v>
      </c>
      <c r="K66" s="29" t="s">
        <v>655</v>
      </c>
      <c r="L66" s="55"/>
      <c r="M66" s="29">
        <v>33</v>
      </c>
      <c r="N66" s="29" t="s">
        <v>704</v>
      </c>
      <c r="O66" s="29" t="s">
        <v>693</v>
      </c>
      <c r="P66" s="29" t="s">
        <v>669</v>
      </c>
      <c r="Q66" s="56"/>
      <c r="R66" s="56"/>
    </row>
    <row r="67" spans="2:18" ht="16" x14ac:dyDescent="0.4">
      <c r="B67" s="2" t="s">
        <v>49</v>
      </c>
      <c r="C67" s="1">
        <v>2040</v>
      </c>
      <c r="D67" s="29" t="s">
        <v>692</v>
      </c>
      <c r="E67" s="29" t="s">
        <v>673</v>
      </c>
      <c r="F67" s="29">
        <v>3</v>
      </c>
      <c r="G67" s="55"/>
      <c r="H67" s="29" t="s">
        <v>663</v>
      </c>
      <c r="I67" s="29" t="s">
        <v>693</v>
      </c>
      <c r="J67" s="29" t="s">
        <v>655</v>
      </c>
      <c r="K67" s="29" t="s">
        <v>673</v>
      </c>
      <c r="L67" s="55"/>
      <c r="M67" s="29">
        <v>59</v>
      </c>
      <c r="N67" s="29" t="s">
        <v>703</v>
      </c>
      <c r="O67" s="29" t="s">
        <v>655</v>
      </c>
      <c r="P67" s="29" t="s">
        <v>669</v>
      </c>
      <c r="Q67" s="56"/>
      <c r="R67" s="56"/>
    </row>
    <row r="68" spans="2:18" ht="16" x14ac:dyDescent="0.4">
      <c r="B68" s="2" t="s">
        <v>50</v>
      </c>
      <c r="C68" s="1">
        <v>2050</v>
      </c>
      <c r="D68" s="29" t="s">
        <v>692</v>
      </c>
      <c r="E68" s="29" t="s">
        <v>655</v>
      </c>
      <c r="F68" s="29">
        <v>3</v>
      </c>
      <c r="G68" s="55"/>
      <c r="H68" s="29" t="s">
        <v>663</v>
      </c>
      <c r="I68" s="29" t="s">
        <v>693</v>
      </c>
      <c r="J68" s="29" t="s">
        <v>655</v>
      </c>
      <c r="K68" s="29" t="s">
        <v>655</v>
      </c>
      <c r="L68" s="55"/>
      <c r="M68" s="29">
        <v>86</v>
      </c>
      <c r="N68" s="29" t="s">
        <v>703</v>
      </c>
      <c r="O68" s="29" t="s">
        <v>673</v>
      </c>
      <c r="P68" s="29" t="s">
        <v>663</v>
      </c>
      <c r="Q68" s="56"/>
      <c r="R68" s="56"/>
    </row>
    <row r="69" spans="2:18" ht="16" x14ac:dyDescent="0.4">
      <c r="B69" s="2" t="s">
        <v>51</v>
      </c>
      <c r="C69" s="1">
        <v>2050</v>
      </c>
      <c r="D69" s="29" t="s">
        <v>692</v>
      </c>
      <c r="E69" s="29" t="s">
        <v>673</v>
      </c>
      <c r="F69" s="29">
        <v>5</v>
      </c>
      <c r="G69" s="55"/>
      <c r="H69" s="29" t="s">
        <v>704</v>
      </c>
      <c r="I69" s="29" t="s">
        <v>693</v>
      </c>
      <c r="J69" s="29" t="s">
        <v>655</v>
      </c>
      <c r="K69" s="29" t="s">
        <v>673</v>
      </c>
      <c r="L69" s="55"/>
      <c r="M69" s="29">
        <v>109</v>
      </c>
      <c r="N69" s="29" t="s">
        <v>667</v>
      </c>
      <c r="O69" s="29" t="s">
        <v>673</v>
      </c>
      <c r="P69" s="29" t="s">
        <v>669</v>
      </c>
      <c r="Q69" s="56"/>
      <c r="R69" s="56"/>
    </row>
    <row r="70" spans="2:18" ht="16" x14ac:dyDescent="0.4">
      <c r="B70" s="2" t="s">
        <v>52</v>
      </c>
      <c r="C70" s="1">
        <v>2050</v>
      </c>
      <c r="D70" s="29" t="s">
        <v>692</v>
      </c>
      <c r="E70" s="29" t="s">
        <v>673</v>
      </c>
      <c r="F70" s="29">
        <v>5</v>
      </c>
      <c r="G70" s="55"/>
      <c r="H70" s="29" t="s">
        <v>704</v>
      </c>
      <c r="I70" s="29">
        <v>1.02</v>
      </c>
      <c r="J70" s="29" t="s">
        <v>655</v>
      </c>
      <c r="K70" s="29" t="s">
        <v>673</v>
      </c>
      <c r="L70" s="55"/>
      <c r="M70" s="29">
        <v>8</v>
      </c>
      <c r="N70" s="29" t="s">
        <v>667</v>
      </c>
      <c r="O70" s="29" t="s">
        <v>673</v>
      </c>
      <c r="P70" s="29" t="s">
        <v>669</v>
      </c>
      <c r="Q70" s="56"/>
      <c r="R70" s="56"/>
    </row>
    <row r="71" spans="2:18" ht="16" x14ac:dyDescent="0.4">
      <c r="B71" s="2" t="s">
        <v>53</v>
      </c>
      <c r="C71" s="1">
        <v>2050</v>
      </c>
      <c r="D71" s="29" t="s">
        <v>692</v>
      </c>
      <c r="E71" s="29" t="s">
        <v>655</v>
      </c>
      <c r="F71" s="29" t="s">
        <v>693</v>
      </c>
      <c r="G71" s="55"/>
      <c r="H71" s="29" t="s">
        <v>703</v>
      </c>
      <c r="I71" s="29">
        <f>2.62+4.25</f>
        <v>6.87</v>
      </c>
      <c r="J71" s="29" t="s">
        <v>673</v>
      </c>
      <c r="K71" s="29" t="s">
        <v>655</v>
      </c>
      <c r="L71" s="55"/>
      <c r="M71" s="29">
        <v>99</v>
      </c>
      <c r="N71" s="29" t="s">
        <v>702</v>
      </c>
      <c r="O71" s="29" t="s">
        <v>693</v>
      </c>
      <c r="P71" s="29" t="s">
        <v>663</v>
      </c>
      <c r="Q71" s="56"/>
      <c r="R71" s="56"/>
    </row>
    <row r="72" spans="2:18" ht="16" x14ac:dyDescent="0.4">
      <c r="B72" s="2" t="s">
        <v>398</v>
      </c>
      <c r="C72" s="1">
        <v>2050</v>
      </c>
      <c r="D72" s="29" t="s">
        <v>699</v>
      </c>
      <c r="E72" s="29" t="s">
        <v>673</v>
      </c>
      <c r="F72" s="29" t="s">
        <v>693</v>
      </c>
      <c r="G72" s="55"/>
      <c r="H72" s="29" t="s">
        <v>663</v>
      </c>
      <c r="I72" s="29" t="s">
        <v>693</v>
      </c>
      <c r="J72" s="29" t="s">
        <v>673</v>
      </c>
      <c r="K72" s="29" t="s">
        <v>655</v>
      </c>
      <c r="L72" s="55"/>
      <c r="M72" s="29">
        <v>58</v>
      </c>
      <c r="N72" s="29" t="s">
        <v>693</v>
      </c>
      <c r="O72" s="29" t="s">
        <v>693</v>
      </c>
      <c r="P72" s="29" t="s">
        <v>663</v>
      </c>
      <c r="Q72" s="56"/>
      <c r="R72" s="56"/>
    </row>
    <row r="73" spans="2:18" ht="16" x14ac:dyDescent="0.4">
      <c r="B73" s="2" t="s">
        <v>54</v>
      </c>
      <c r="C73" s="1">
        <v>2030</v>
      </c>
      <c r="D73" s="29" t="s">
        <v>692</v>
      </c>
      <c r="E73" s="29" t="s">
        <v>673</v>
      </c>
      <c r="F73" s="29" t="s">
        <v>693</v>
      </c>
      <c r="G73" s="55"/>
      <c r="H73" s="29" t="s">
        <v>663</v>
      </c>
      <c r="I73" s="29">
        <v>0.9</v>
      </c>
      <c r="J73" s="29" t="s">
        <v>673</v>
      </c>
      <c r="K73" s="29" t="s">
        <v>655</v>
      </c>
      <c r="L73" s="55"/>
      <c r="M73" s="29">
        <v>16</v>
      </c>
      <c r="N73" s="29" t="s">
        <v>667</v>
      </c>
      <c r="O73" s="29" t="s">
        <v>693</v>
      </c>
      <c r="P73" s="29" t="s">
        <v>669</v>
      </c>
      <c r="Q73" s="56"/>
      <c r="R73" s="56"/>
    </row>
    <row r="74" spans="2:18" ht="16" x14ac:dyDescent="0.4">
      <c r="B74" s="2" t="s">
        <v>56</v>
      </c>
      <c r="C74" s="1">
        <v>2050</v>
      </c>
      <c r="D74" s="29" t="s">
        <v>692</v>
      </c>
      <c r="E74" s="29" t="s">
        <v>673</v>
      </c>
      <c r="F74" s="29" t="s">
        <v>693</v>
      </c>
      <c r="G74" s="55"/>
      <c r="H74" s="29" t="s">
        <v>663</v>
      </c>
      <c r="I74" s="29" t="s">
        <v>693</v>
      </c>
      <c r="J74" s="29" t="s">
        <v>655</v>
      </c>
      <c r="K74" s="29" t="s">
        <v>655</v>
      </c>
      <c r="L74" s="55"/>
      <c r="M74" s="29">
        <v>200</v>
      </c>
      <c r="N74" s="29" t="s">
        <v>667</v>
      </c>
      <c r="O74" s="29" t="s">
        <v>693</v>
      </c>
      <c r="P74" s="29" t="s">
        <v>669</v>
      </c>
      <c r="Q74" s="56"/>
      <c r="R74" s="56"/>
    </row>
    <row r="75" spans="2:18" ht="16" x14ac:dyDescent="0.4">
      <c r="B75" s="2" t="s">
        <v>57</v>
      </c>
      <c r="C75" s="1">
        <v>2050</v>
      </c>
      <c r="D75" s="29" t="s">
        <v>699</v>
      </c>
      <c r="E75" s="29" t="s">
        <v>655</v>
      </c>
      <c r="F75" s="29" t="s">
        <v>693</v>
      </c>
      <c r="G75" s="55"/>
      <c r="H75" s="29" t="s">
        <v>663</v>
      </c>
      <c r="I75" s="29" t="s">
        <v>693</v>
      </c>
      <c r="J75" s="29" t="s">
        <v>655</v>
      </c>
      <c r="K75" s="29" t="s">
        <v>655</v>
      </c>
      <c r="L75" s="55"/>
      <c r="M75" s="29">
        <v>5</v>
      </c>
      <c r="N75" s="29" t="s">
        <v>693</v>
      </c>
      <c r="O75" s="29" t="s">
        <v>693</v>
      </c>
      <c r="P75" s="29" t="s">
        <v>669</v>
      </c>
      <c r="Q75" s="56"/>
      <c r="R75" s="56"/>
    </row>
    <row r="76" spans="2:18" ht="16" x14ac:dyDescent="0.4">
      <c r="B76" s="2" t="s">
        <v>58</v>
      </c>
      <c r="C76" s="1">
        <v>2050</v>
      </c>
      <c r="D76" s="29" t="s">
        <v>692</v>
      </c>
      <c r="E76" s="29" t="s">
        <v>673</v>
      </c>
      <c r="F76" s="29">
        <v>4</v>
      </c>
      <c r="G76" s="55"/>
      <c r="H76" s="29" t="s">
        <v>663</v>
      </c>
      <c r="I76" s="29" t="s">
        <v>693</v>
      </c>
      <c r="J76" s="29" t="s">
        <v>655</v>
      </c>
      <c r="K76" s="29" t="s">
        <v>655</v>
      </c>
      <c r="L76" s="55"/>
      <c r="M76" s="29">
        <v>87</v>
      </c>
      <c r="N76" s="29" t="s">
        <v>667</v>
      </c>
      <c r="O76" s="29" t="s">
        <v>673</v>
      </c>
      <c r="P76" s="29" t="s">
        <v>669</v>
      </c>
      <c r="Q76" s="56"/>
      <c r="R76" s="56"/>
    </row>
    <row r="77" spans="2:18" ht="16" x14ac:dyDescent="0.4">
      <c r="B77" s="2" t="s">
        <v>59</v>
      </c>
      <c r="C77" s="1">
        <v>2050</v>
      </c>
      <c r="D77" s="29" t="s">
        <v>692</v>
      </c>
      <c r="E77" s="29" t="s">
        <v>655</v>
      </c>
      <c r="F77" s="29">
        <v>3</v>
      </c>
      <c r="G77" s="55"/>
      <c r="H77" s="29" t="s">
        <v>663</v>
      </c>
      <c r="I77" s="29" t="s">
        <v>693</v>
      </c>
      <c r="J77" s="29" t="s">
        <v>673</v>
      </c>
      <c r="K77" s="29" t="s">
        <v>673</v>
      </c>
      <c r="L77" s="55"/>
      <c r="M77" s="29">
        <v>68</v>
      </c>
      <c r="N77" s="29" t="s">
        <v>702</v>
      </c>
      <c r="O77" s="29" t="s">
        <v>655</v>
      </c>
      <c r="P77" s="29" t="s">
        <v>669</v>
      </c>
      <c r="Q77" s="56"/>
      <c r="R77" s="56"/>
    </row>
    <row r="78" spans="2:18" ht="16" x14ac:dyDescent="0.4">
      <c r="B78" s="2" t="s">
        <v>60</v>
      </c>
      <c r="C78" s="1">
        <v>2050</v>
      </c>
      <c r="D78" s="29" t="s">
        <v>692</v>
      </c>
      <c r="E78" s="29" t="s">
        <v>673</v>
      </c>
      <c r="F78" s="29">
        <v>3</v>
      </c>
      <c r="G78" s="55"/>
      <c r="H78" s="29" t="s">
        <v>663</v>
      </c>
      <c r="I78" s="29" t="s">
        <v>693</v>
      </c>
      <c r="J78" s="29" t="s">
        <v>673</v>
      </c>
      <c r="K78" s="29" t="s">
        <v>673</v>
      </c>
      <c r="L78" s="55"/>
      <c r="M78" s="29">
        <v>37</v>
      </c>
      <c r="N78" s="29" t="s">
        <v>703</v>
      </c>
      <c r="O78" s="29" t="s">
        <v>655</v>
      </c>
      <c r="P78" s="29" t="s">
        <v>669</v>
      </c>
      <c r="Q78" s="56"/>
      <c r="R78" s="56"/>
    </row>
    <row r="79" spans="2:18" ht="16" x14ac:dyDescent="0.4">
      <c r="B79" s="2" t="s">
        <v>61</v>
      </c>
      <c r="C79" s="1">
        <v>2050</v>
      </c>
      <c r="D79" s="29" t="s">
        <v>700</v>
      </c>
      <c r="E79" s="29" t="s">
        <v>655</v>
      </c>
      <c r="F79" s="29">
        <v>3</v>
      </c>
      <c r="G79" s="55"/>
      <c r="H79" s="29" t="s">
        <v>663</v>
      </c>
      <c r="I79" s="29" t="s">
        <v>693</v>
      </c>
      <c r="J79" s="29" t="s">
        <v>655</v>
      </c>
      <c r="K79" s="29" t="s">
        <v>655</v>
      </c>
      <c r="L79" s="55"/>
      <c r="M79" s="29">
        <v>76</v>
      </c>
      <c r="N79" s="29" t="s">
        <v>693</v>
      </c>
      <c r="O79" s="29" t="s">
        <v>655</v>
      </c>
      <c r="P79" s="29" t="s">
        <v>663</v>
      </c>
      <c r="Q79" s="56"/>
      <c r="R79" s="56"/>
    </row>
    <row r="80" spans="2:18" ht="16" x14ac:dyDescent="0.4">
      <c r="B80" s="2" t="s">
        <v>62</v>
      </c>
      <c r="C80" s="1">
        <v>2050</v>
      </c>
      <c r="D80" s="29" t="s">
        <v>692</v>
      </c>
      <c r="E80" s="29" t="s">
        <v>655</v>
      </c>
      <c r="F80" s="29" t="s">
        <v>693</v>
      </c>
      <c r="G80" s="55"/>
      <c r="H80" s="29" t="s">
        <v>663</v>
      </c>
      <c r="I80" s="29" t="s">
        <v>693</v>
      </c>
      <c r="J80" s="29" t="s">
        <v>655</v>
      </c>
      <c r="K80" s="29" t="s">
        <v>655</v>
      </c>
      <c r="L80" s="55"/>
      <c r="M80" s="29">
        <v>19</v>
      </c>
      <c r="N80" s="29" t="s">
        <v>693</v>
      </c>
      <c r="O80" s="29" t="s">
        <v>693</v>
      </c>
      <c r="P80" s="29" t="s">
        <v>663</v>
      </c>
      <c r="Q80" s="56"/>
      <c r="R80" s="56"/>
    </row>
    <row r="81" spans="2:18" ht="16" x14ac:dyDescent="0.4">
      <c r="B81" s="2" t="s">
        <v>439</v>
      </c>
      <c r="C81" s="1">
        <v>2030</v>
      </c>
      <c r="D81" s="29" t="s">
        <v>692</v>
      </c>
      <c r="E81" s="29" t="s">
        <v>673</v>
      </c>
      <c r="F81" s="29">
        <v>5</v>
      </c>
      <c r="G81" s="55"/>
      <c r="H81" s="29" t="s">
        <v>704</v>
      </c>
      <c r="I81" s="29" t="s">
        <v>693</v>
      </c>
      <c r="J81" s="29" t="s">
        <v>655</v>
      </c>
      <c r="K81" s="29" t="s">
        <v>673</v>
      </c>
      <c r="L81" s="55"/>
      <c r="M81" s="29">
        <v>14</v>
      </c>
      <c r="N81" s="29" t="s">
        <v>693</v>
      </c>
      <c r="O81" s="29" t="s">
        <v>655</v>
      </c>
      <c r="P81" s="29" t="s">
        <v>669</v>
      </c>
      <c r="Q81" s="56"/>
      <c r="R81" s="56"/>
    </row>
    <row r="82" spans="2:18" ht="16" x14ac:dyDescent="0.4">
      <c r="B82" s="2" t="s">
        <v>63</v>
      </c>
      <c r="C82" s="1">
        <v>2050</v>
      </c>
      <c r="D82" s="29" t="s">
        <v>692</v>
      </c>
      <c r="E82" s="29" t="s">
        <v>673</v>
      </c>
      <c r="F82" s="29">
        <v>4</v>
      </c>
      <c r="G82" s="55"/>
      <c r="H82" s="29" t="s">
        <v>703</v>
      </c>
      <c r="I82" s="29" t="s">
        <v>693</v>
      </c>
      <c r="J82" s="29" t="s">
        <v>655</v>
      </c>
      <c r="K82" s="29" t="s">
        <v>655</v>
      </c>
      <c r="L82" s="55"/>
      <c r="M82" s="29">
        <v>1</v>
      </c>
      <c r="N82" s="29" t="s">
        <v>704</v>
      </c>
      <c r="O82" s="29" t="s">
        <v>673</v>
      </c>
      <c r="P82" s="29" t="s">
        <v>669</v>
      </c>
      <c r="Q82" s="56"/>
      <c r="R82" s="56"/>
    </row>
    <row r="83" spans="2:18" ht="16" x14ac:dyDescent="0.4">
      <c r="B83" s="2" t="s">
        <v>448</v>
      </c>
      <c r="C83" s="1">
        <v>2040</v>
      </c>
      <c r="D83" s="29" t="s">
        <v>692</v>
      </c>
      <c r="E83" s="57" t="s">
        <v>655</v>
      </c>
      <c r="F83" s="29" t="s">
        <v>693</v>
      </c>
      <c r="G83" s="55"/>
      <c r="H83" s="29" t="s">
        <v>663</v>
      </c>
      <c r="I83" s="29">
        <f>0.29+0.38</f>
        <v>0.66999999999999993</v>
      </c>
      <c r="J83" s="29" t="s">
        <v>655</v>
      </c>
      <c r="K83" s="29" t="s">
        <v>655</v>
      </c>
      <c r="L83" s="55"/>
      <c r="M83" s="29">
        <v>36</v>
      </c>
      <c r="N83" s="29" t="s">
        <v>702</v>
      </c>
      <c r="O83" s="29" t="s">
        <v>693</v>
      </c>
      <c r="P83" s="29" t="s">
        <v>669</v>
      </c>
      <c r="Q83" s="56"/>
      <c r="R83" s="56"/>
    </row>
    <row r="84" spans="2:18" ht="16" x14ac:dyDescent="0.4">
      <c r="B84" s="2" t="s">
        <v>454</v>
      </c>
      <c r="C84" s="1">
        <v>2035</v>
      </c>
      <c r="D84" s="29" t="s">
        <v>692</v>
      </c>
      <c r="E84" s="57" t="s">
        <v>673</v>
      </c>
      <c r="F84" s="29">
        <v>5</v>
      </c>
      <c r="G84" s="55"/>
      <c r="H84" s="29" t="s">
        <v>704</v>
      </c>
      <c r="I84" s="29" t="s">
        <v>693</v>
      </c>
      <c r="J84" s="29" t="s">
        <v>655</v>
      </c>
      <c r="K84" s="29" t="s">
        <v>673</v>
      </c>
      <c r="L84" s="55"/>
      <c r="M84" s="29">
        <v>40</v>
      </c>
      <c r="N84" s="29" t="s">
        <v>702</v>
      </c>
      <c r="O84" s="29" t="s">
        <v>673</v>
      </c>
      <c r="P84" s="29" t="s">
        <v>669</v>
      </c>
      <c r="Q84" s="56"/>
      <c r="R84" s="56"/>
    </row>
    <row r="85" spans="2:18" ht="16" x14ac:dyDescent="0.4">
      <c r="B85" s="2" t="s">
        <v>459</v>
      </c>
      <c r="C85" s="1">
        <v>2050</v>
      </c>
      <c r="D85" s="29" t="s">
        <v>699</v>
      </c>
      <c r="E85" s="57" t="s">
        <v>673</v>
      </c>
      <c r="F85" s="29" t="s">
        <v>693</v>
      </c>
      <c r="G85" s="55"/>
      <c r="H85" s="29" t="s">
        <v>704</v>
      </c>
      <c r="I85" s="29" t="s">
        <v>693</v>
      </c>
      <c r="J85" s="29" t="s">
        <v>673</v>
      </c>
      <c r="K85" s="29" t="s">
        <v>655</v>
      </c>
      <c r="L85" s="55"/>
      <c r="M85" s="29">
        <v>72</v>
      </c>
      <c r="N85" s="29" t="s">
        <v>702</v>
      </c>
      <c r="O85" s="29" t="s">
        <v>693</v>
      </c>
      <c r="P85" s="29" t="s">
        <v>663</v>
      </c>
      <c r="Q85" s="56"/>
      <c r="R85" s="56"/>
    </row>
    <row r="86" spans="2:18" ht="16" x14ac:dyDescent="0.4">
      <c r="B86" s="2" t="s">
        <v>64</v>
      </c>
      <c r="C86" s="1">
        <v>2050</v>
      </c>
      <c r="D86" s="29" t="s">
        <v>692</v>
      </c>
      <c r="E86" s="57" t="s">
        <v>655</v>
      </c>
      <c r="F86" s="29" t="s">
        <v>693</v>
      </c>
      <c r="G86" s="55"/>
      <c r="H86" s="29" t="s">
        <v>663</v>
      </c>
      <c r="I86" s="29" t="s">
        <v>693</v>
      </c>
      <c r="J86" s="29" t="s">
        <v>655</v>
      </c>
      <c r="K86" s="29" t="s">
        <v>655</v>
      </c>
      <c r="L86" s="55"/>
      <c r="M86" s="29">
        <v>14</v>
      </c>
      <c r="N86" s="29" t="s">
        <v>693</v>
      </c>
      <c r="O86" s="29" t="s">
        <v>693</v>
      </c>
      <c r="P86" s="29" t="s">
        <v>663</v>
      </c>
      <c r="Q86" s="56"/>
      <c r="R86" s="56"/>
    </row>
    <row r="87" spans="2:18" ht="16" x14ac:dyDescent="0.4">
      <c r="B87" s="2" t="s">
        <v>65</v>
      </c>
      <c r="C87" s="1">
        <v>2030</v>
      </c>
      <c r="D87" s="29" t="s">
        <v>692</v>
      </c>
      <c r="E87" s="57" t="s">
        <v>655</v>
      </c>
      <c r="F87" s="29" t="s">
        <v>693</v>
      </c>
      <c r="G87" s="55"/>
      <c r="H87" s="29" t="s">
        <v>663</v>
      </c>
      <c r="I87" s="29" t="s">
        <v>693</v>
      </c>
      <c r="J87" s="29" t="s">
        <v>655</v>
      </c>
      <c r="K87" s="29" t="s">
        <v>655</v>
      </c>
      <c r="L87" s="55"/>
      <c r="M87" s="29">
        <v>73</v>
      </c>
      <c r="N87" s="29" t="s">
        <v>702</v>
      </c>
      <c r="O87" s="29" t="s">
        <v>693</v>
      </c>
      <c r="P87" s="29" t="s">
        <v>669</v>
      </c>
      <c r="Q87" s="56"/>
      <c r="R87" s="56"/>
    </row>
    <row r="88" spans="2:18" ht="16" x14ac:dyDescent="0.4">
      <c r="B88" s="2" t="s">
        <v>66</v>
      </c>
      <c r="C88" s="1">
        <v>2050</v>
      </c>
      <c r="D88" s="29" t="s">
        <v>692</v>
      </c>
      <c r="E88" s="57" t="s">
        <v>673</v>
      </c>
      <c r="F88" s="29">
        <v>3</v>
      </c>
      <c r="G88" s="55"/>
      <c r="H88" s="29" t="s">
        <v>663</v>
      </c>
      <c r="I88" s="29">
        <f>2.93+3.05</f>
        <v>5.98</v>
      </c>
      <c r="J88" s="29" t="s">
        <v>655</v>
      </c>
      <c r="K88" s="29" t="s">
        <v>673</v>
      </c>
      <c r="L88" s="55"/>
      <c r="M88" s="29">
        <v>23</v>
      </c>
      <c r="N88" s="29" t="s">
        <v>702</v>
      </c>
      <c r="O88" s="29" t="s">
        <v>673</v>
      </c>
      <c r="P88" s="29" t="s">
        <v>663</v>
      </c>
      <c r="Q88" s="56"/>
      <c r="R88" s="56"/>
    </row>
    <row r="89" spans="2:18" ht="16" x14ac:dyDescent="0.4">
      <c r="B89" s="2" t="s">
        <v>476</v>
      </c>
      <c r="C89" s="1">
        <v>2050</v>
      </c>
      <c r="D89" s="29" t="s">
        <v>692</v>
      </c>
      <c r="E89" s="57" t="s">
        <v>673</v>
      </c>
      <c r="F89" s="29">
        <v>5</v>
      </c>
      <c r="G89" s="55"/>
      <c r="H89" s="29" t="s">
        <v>704</v>
      </c>
      <c r="I89" s="29" t="s">
        <v>693</v>
      </c>
      <c r="J89" s="29" t="s">
        <v>655</v>
      </c>
      <c r="K89" s="29" t="s">
        <v>673</v>
      </c>
      <c r="L89" s="55"/>
      <c r="M89" s="29">
        <v>98</v>
      </c>
      <c r="N89" s="29" t="s">
        <v>693</v>
      </c>
      <c r="O89" s="29" t="s">
        <v>673</v>
      </c>
      <c r="P89" s="29" t="s">
        <v>669</v>
      </c>
      <c r="Q89" s="56"/>
      <c r="R89" s="56"/>
    </row>
    <row r="90" spans="2:18" ht="16" x14ac:dyDescent="0.4">
      <c r="B90" s="2" t="s">
        <v>67</v>
      </c>
      <c r="C90" s="1">
        <v>2045</v>
      </c>
      <c r="D90" s="29" t="s">
        <v>692</v>
      </c>
      <c r="E90" s="57" t="s">
        <v>673</v>
      </c>
      <c r="F90" s="29">
        <v>3</v>
      </c>
      <c r="G90" s="55"/>
      <c r="H90" s="29" t="s">
        <v>663</v>
      </c>
      <c r="I90" s="29" t="s">
        <v>693</v>
      </c>
      <c r="J90" s="29" t="s">
        <v>655</v>
      </c>
      <c r="K90" s="29" t="s">
        <v>655</v>
      </c>
      <c r="L90" s="55"/>
      <c r="M90" s="29">
        <v>49</v>
      </c>
      <c r="N90" s="29" t="s">
        <v>703</v>
      </c>
      <c r="O90" s="29" t="s">
        <v>655</v>
      </c>
      <c r="P90" s="29" t="s">
        <v>663</v>
      </c>
      <c r="Q90" s="56"/>
      <c r="R90" s="56"/>
    </row>
    <row r="91" spans="2:18" ht="16" x14ac:dyDescent="0.4">
      <c r="B91" s="2" t="s">
        <v>68</v>
      </c>
      <c r="C91" s="1">
        <v>2040</v>
      </c>
      <c r="D91" s="29" t="s">
        <v>692</v>
      </c>
      <c r="E91" s="57" t="s">
        <v>673</v>
      </c>
      <c r="F91" s="29" t="s">
        <v>693</v>
      </c>
      <c r="G91" s="55"/>
      <c r="H91" s="29" t="s">
        <v>663</v>
      </c>
      <c r="I91" s="29" t="s">
        <v>693</v>
      </c>
      <c r="J91" s="29" t="s">
        <v>655</v>
      </c>
      <c r="K91" s="29" t="s">
        <v>655</v>
      </c>
      <c r="L91" s="55"/>
      <c r="M91" s="29">
        <v>28</v>
      </c>
      <c r="N91" s="29" t="s">
        <v>703</v>
      </c>
      <c r="O91" s="29" t="s">
        <v>693</v>
      </c>
      <c r="P91" s="29" t="s">
        <v>669</v>
      </c>
      <c r="Q91" s="56"/>
      <c r="R91" s="56"/>
    </row>
    <row r="92" spans="2:18" ht="16" x14ac:dyDescent="0.4">
      <c r="B92" s="2" t="s">
        <v>490</v>
      </c>
      <c r="C92" s="1">
        <v>2050</v>
      </c>
      <c r="D92" s="29" t="s">
        <v>692</v>
      </c>
      <c r="E92" s="57" t="s">
        <v>655</v>
      </c>
      <c r="F92" s="29" t="s">
        <v>693</v>
      </c>
      <c r="G92" s="55"/>
      <c r="H92" s="29" t="s">
        <v>663</v>
      </c>
      <c r="I92" s="29" t="s">
        <v>693</v>
      </c>
      <c r="J92" s="29" t="s">
        <v>655</v>
      </c>
      <c r="K92" s="29" t="s">
        <v>655</v>
      </c>
      <c r="L92" s="55"/>
      <c r="M92" s="29">
        <v>22</v>
      </c>
      <c r="N92" s="29" t="s">
        <v>702</v>
      </c>
      <c r="O92" s="29" t="s">
        <v>693</v>
      </c>
      <c r="P92" s="29" t="s">
        <v>669</v>
      </c>
      <c r="Q92" s="56"/>
      <c r="R92" s="56"/>
    </row>
    <row r="93" spans="2:18" ht="16" x14ac:dyDescent="0.4">
      <c r="B93" s="2" t="s">
        <v>495</v>
      </c>
      <c r="C93" s="1">
        <v>2050</v>
      </c>
      <c r="D93" s="29" t="s">
        <v>692</v>
      </c>
      <c r="E93" s="57" t="s">
        <v>655</v>
      </c>
      <c r="F93" s="29">
        <v>5</v>
      </c>
      <c r="G93" s="55"/>
      <c r="H93" s="29" t="s">
        <v>704</v>
      </c>
      <c r="I93" s="29">
        <v>2.88</v>
      </c>
      <c r="J93" s="29" t="s">
        <v>655</v>
      </c>
      <c r="K93" s="29" t="s">
        <v>673</v>
      </c>
      <c r="L93" s="55"/>
      <c r="M93" s="29">
        <v>49</v>
      </c>
      <c r="N93" s="29" t="s">
        <v>693</v>
      </c>
      <c r="O93" s="29" t="s">
        <v>673</v>
      </c>
      <c r="P93" s="29" t="s">
        <v>669</v>
      </c>
      <c r="Q93" s="56"/>
      <c r="R93" s="56"/>
    </row>
    <row r="94" spans="2:18" ht="16" x14ac:dyDescent="0.4">
      <c r="B94" s="2" t="s">
        <v>500</v>
      </c>
      <c r="C94" s="1">
        <v>2050</v>
      </c>
      <c r="D94" s="29" t="s">
        <v>699</v>
      </c>
      <c r="E94" s="57" t="s">
        <v>655</v>
      </c>
      <c r="F94" s="29" t="s">
        <v>693</v>
      </c>
      <c r="G94" s="55"/>
      <c r="H94" s="29" t="s">
        <v>663</v>
      </c>
      <c r="I94" s="29" t="s">
        <v>693</v>
      </c>
      <c r="J94" s="29" t="s">
        <v>655</v>
      </c>
      <c r="K94" s="29" t="s">
        <v>655</v>
      </c>
      <c r="L94" s="55"/>
      <c r="M94" s="29">
        <v>52</v>
      </c>
      <c r="N94" s="29" t="s">
        <v>704</v>
      </c>
      <c r="O94" s="29" t="s">
        <v>693</v>
      </c>
      <c r="P94" s="29" t="s">
        <v>663</v>
      </c>
      <c r="Q94" s="56"/>
      <c r="R94" s="56"/>
    </row>
    <row r="95" spans="2:18" ht="16" x14ac:dyDescent="0.4">
      <c r="B95" s="2" t="s">
        <v>70</v>
      </c>
      <c r="C95" s="1">
        <v>2050</v>
      </c>
      <c r="D95" s="29" t="s">
        <v>692</v>
      </c>
      <c r="E95" s="57" t="s">
        <v>655</v>
      </c>
      <c r="F95" s="29" t="s">
        <v>693</v>
      </c>
      <c r="G95" s="55"/>
      <c r="H95" s="29" t="s">
        <v>703</v>
      </c>
      <c r="I95" s="29">
        <f>0.08+1.09+0.46+1.19</f>
        <v>2.8200000000000003</v>
      </c>
      <c r="J95" s="29" t="s">
        <v>673</v>
      </c>
      <c r="K95" s="29" t="s">
        <v>655</v>
      </c>
      <c r="L95" s="55"/>
      <c r="M95" s="29">
        <v>38</v>
      </c>
      <c r="N95" s="29" t="s">
        <v>702</v>
      </c>
      <c r="O95" s="29" t="s">
        <v>693</v>
      </c>
      <c r="P95" s="29" t="s">
        <v>669</v>
      </c>
      <c r="Q95" s="56"/>
      <c r="R95" s="56"/>
    </row>
    <row r="96" spans="2:18" ht="16" x14ac:dyDescent="0.4">
      <c r="B96" s="2" t="s">
        <v>71</v>
      </c>
      <c r="C96" s="1">
        <v>2045</v>
      </c>
      <c r="D96" s="29" t="s">
        <v>692</v>
      </c>
      <c r="E96" s="57" t="s">
        <v>655</v>
      </c>
      <c r="F96" s="29" t="s">
        <v>693</v>
      </c>
      <c r="G96" s="55"/>
      <c r="H96" s="29" t="s">
        <v>663</v>
      </c>
      <c r="I96" s="29" t="s">
        <v>693</v>
      </c>
      <c r="J96" s="29" t="s">
        <v>655</v>
      </c>
      <c r="K96" s="29" t="s">
        <v>655</v>
      </c>
      <c r="L96" s="55"/>
      <c r="M96" s="29">
        <v>58</v>
      </c>
      <c r="N96" s="29" t="s">
        <v>702</v>
      </c>
      <c r="O96" s="29" t="s">
        <v>693</v>
      </c>
      <c r="P96" s="29" t="s">
        <v>669</v>
      </c>
      <c r="Q96" s="56"/>
      <c r="R96" s="56"/>
    </row>
    <row r="97" spans="2:18" ht="16" x14ac:dyDescent="0.4">
      <c r="B97" s="2" t="s">
        <v>72</v>
      </c>
      <c r="C97" s="1">
        <v>2050</v>
      </c>
      <c r="D97" s="29" t="s">
        <v>692</v>
      </c>
      <c r="E97" s="57" t="s">
        <v>673</v>
      </c>
      <c r="F97" s="29">
        <v>5</v>
      </c>
      <c r="G97" s="55"/>
      <c r="H97" s="29" t="s">
        <v>704</v>
      </c>
      <c r="I97" s="29">
        <v>1.46</v>
      </c>
      <c r="J97" s="29" t="s">
        <v>673</v>
      </c>
      <c r="K97" s="29" t="s">
        <v>673</v>
      </c>
      <c r="L97" s="55"/>
      <c r="M97" s="29">
        <v>61</v>
      </c>
      <c r="N97" s="29" t="s">
        <v>667</v>
      </c>
      <c r="O97" s="29" t="s">
        <v>673</v>
      </c>
      <c r="P97" s="29" t="s">
        <v>669</v>
      </c>
      <c r="Q97" s="56"/>
      <c r="R97" s="56"/>
    </row>
    <row r="98" spans="2:18" ht="16" x14ac:dyDescent="0.4">
      <c r="B98" s="2" t="s">
        <v>73</v>
      </c>
      <c r="C98" s="1">
        <v>2050</v>
      </c>
      <c r="D98" s="29" t="s">
        <v>692</v>
      </c>
      <c r="E98" s="57" t="s">
        <v>673</v>
      </c>
      <c r="F98" s="29">
        <v>5</v>
      </c>
      <c r="G98" s="55"/>
      <c r="H98" s="29" t="s">
        <v>704</v>
      </c>
      <c r="I98" s="29" t="s">
        <v>693</v>
      </c>
      <c r="J98" s="29" t="s">
        <v>706</v>
      </c>
      <c r="K98" s="29" t="s">
        <v>673</v>
      </c>
      <c r="L98" s="55"/>
      <c r="M98" s="29">
        <v>69</v>
      </c>
      <c r="N98" s="29" t="s">
        <v>693</v>
      </c>
      <c r="O98" s="29" t="s">
        <v>673</v>
      </c>
      <c r="P98" s="29" t="s">
        <v>728</v>
      </c>
      <c r="Q98" s="56"/>
      <c r="R98" s="56"/>
    </row>
    <row r="99" spans="2:18" ht="16" x14ac:dyDescent="0.4">
      <c r="B99" s="2" t="s">
        <v>522</v>
      </c>
      <c r="C99" s="1">
        <v>2030</v>
      </c>
      <c r="D99" s="29" t="s">
        <v>700</v>
      </c>
      <c r="E99" s="57" t="s">
        <v>655</v>
      </c>
      <c r="F99" s="29" t="s">
        <v>693</v>
      </c>
      <c r="G99" s="55"/>
      <c r="H99" s="29" t="s">
        <v>663</v>
      </c>
      <c r="I99" s="29" t="s">
        <v>693</v>
      </c>
      <c r="J99" s="29" t="s">
        <v>655</v>
      </c>
      <c r="K99" s="29" t="s">
        <v>655</v>
      </c>
      <c r="L99" s="55"/>
      <c r="M99" s="29">
        <v>128</v>
      </c>
      <c r="N99" s="29" t="s">
        <v>702</v>
      </c>
      <c r="O99" s="29" t="s">
        <v>693</v>
      </c>
      <c r="P99" s="29" t="s">
        <v>669</v>
      </c>
      <c r="Q99" s="56"/>
      <c r="R99" s="56"/>
    </row>
    <row r="100" spans="2:18" ht="16" x14ac:dyDescent="0.4">
      <c r="B100" s="2" t="s">
        <v>528</v>
      </c>
      <c r="C100" s="1">
        <v>2030</v>
      </c>
      <c r="D100" s="29" t="s">
        <v>692</v>
      </c>
      <c r="E100" s="57" t="s">
        <v>673</v>
      </c>
      <c r="F100" s="29">
        <v>5</v>
      </c>
      <c r="G100" s="55"/>
      <c r="H100" s="29" t="s">
        <v>704</v>
      </c>
      <c r="I100" s="29" t="s">
        <v>693</v>
      </c>
      <c r="J100" s="29" t="s">
        <v>655</v>
      </c>
      <c r="K100" s="29" t="s">
        <v>673</v>
      </c>
      <c r="L100" s="55"/>
      <c r="M100" s="29">
        <v>47</v>
      </c>
      <c r="N100" s="29" t="s">
        <v>693</v>
      </c>
      <c r="O100" s="29" t="s">
        <v>673</v>
      </c>
      <c r="P100" s="29" t="s">
        <v>669</v>
      </c>
      <c r="Q100" s="56"/>
      <c r="R100" s="56"/>
    </row>
    <row r="101" spans="2:18" ht="16" x14ac:dyDescent="0.4">
      <c r="B101" s="2" t="s">
        <v>74</v>
      </c>
      <c r="C101" s="1">
        <v>2040</v>
      </c>
      <c r="D101" s="29" t="s">
        <v>692</v>
      </c>
      <c r="E101" s="57" t="s">
        <v>673</v>
      </c>
      <c r="F101" s="29">
        <v>5</v>
      </c>
      <c r="G101" s="55"/>
      <c r="H101" s="29" t="s">
        <v>704</v>
      </c>
      <c r="I101" s="29">
        <v>0.84</v>
      </c>
      <c r="J101" s="29" t="s">
        <v>673</v>
      </c>
      <c r="K101" s="29" t="s">
        <v>673</v>
      </c>
      <c r="L101" s="55"/>
      <c r="M101" s="29">
        <v>49</v>
      </c>
      <c r="N101" s="29" t="s">
        <v>702</v>
      </c>
      <c r="O101" s="29" t="s">
        <v>673</v>
      </c>
      <c r="P101" s="29" t="s">
        <v>669</v>
      </c>
      <c r="Q101" s="56"/>
      <c r="R101" s="56"/>
    </row>
    <row r="102" spans="2:18" ht="16" x14ac:dyDescent="0.4">
      <c r="B102" s="2" t="s">
        <v>75</v>
      </c>
      <c r="C102" s="1">
        <v>2050</v>
      </c>
      <c r="D102" s="29" t="s">
        <v>692</v>
      </c>
      <c r="E102" s="57" t="s">
        <v>655</v>
      </c>
      <c r="F102" s="29">
        <v>4</v>
      </c>
      <c r="G102" s="55"/>
      <c r="H102" s="29" t="s">
        <v>703</v>
      </c>
      <c r="I102" s="29">
        <v>1.98</v>
      </c>
      <c r="J102" s="29" t="s">
        <v>655</v>
      </c>
      <c r="K102" s="29" t="s">
        <v>673</v>
      </c>
      <c r="L102" s="55"/>
      <c r="M102" s="29">
        <v>13</v>
      </c>
      <c r="N102" s="29" t="s">
        <v>702</v>
      </c>
      <c r="O102" s="29" t="s">
        <v>673</v>
      </c>
      <c r="P102" s="29" t="s">
        <v>669</v>
      </c>
      <c r="Q102" s="56"/>
      <c r="R102" s="56"/>
    </row>
    <row r="103" spans="2:18" ht="16" x14ac:dyDescent="0.4">
      <c r="B103" s="2" t="s">
        <v>76</v>
      </c>
      <c r="C103" s="1">
        <v>2040</v>
      </c>
      <c r="D103" s="29" t="s">
        <v>692</v>
      </c>
      <c r="E103" s="57" t="s">
        <v>673</v>
      </c>
      <c r="F103" s="29" t="s">
        <v>693</v>
      </c>
      <c r="G103" s="55"/>
      <c r="H103" s="29" t="s">
        <v>663</v>
      </c>
      <c r="I103" s="29">
        <v>0.76</v>
      </c>
      <c r="J103" s="29" t="s">
        <v>655</v>
      </c>
      <c r="K103" s="29" t="s">
        <v>655</v>
      </c>
      <c r="L103" s="55"/>
      <c r="M103" s="29">
        <v>55</v>
      </c>
      <c r="N103" s="29" t="s">
        <v>693</v>
      </c>
      <c r="O103" s="29" t="s">
        <v>693</v>
      </c>
      <c r="P103" s="29" t="s">
        <v>669</v>
      </c>
      <c r="Q103" s="56"/>
      <c r="R103" s="56"/>
    </row>
    <row r="104" spans="2:18" ht="16" x14ac:dyDescent="0.4">
      <c r="B104" s="2" t="s">
        <v>77</v>
      </c>
      <c r="C104" s="1">
        <v>2040</v>
      </c>
      <c r="D104" s="29" t="s">
        <v>692</v>
      </c>
      <c r="E104" s="57" t="s">
        <v>673</v>
      </c>
      <c r="F104" s="29" t="s">
        <v>693</v>
      </c>
      <c r="G104" s="55"/>
      <c r="H104" s="29" t="s">
        <v>663</v>
      </c>
      <c r="I104" s="29" t="s">
        <v>693</v>
      </c>
      <c r="J104" s="29" t="s">
        <v>673</v>
      </c>
      <c r="K104" s="29" t="s">
        <v>655</v>
      </c>
      <c r="L104" s="55"/>
      <c r="M104" s="29">
        <v>41</v>
      </c>
      <c r="N104" s="29" t="s">
        <v>703</v>
      </c>
      <c r="O104" s="29" t="s">
        <v>693</v>
      </c>
      <c r="P104" s="29" t="s">
        <v>669</v>
      </c>
      <c r="Q104" s="56"/>
      <c r="R104" s="56"/>
    </row>
    <row r="105" spans="2:18" ht="16" x14ac:dyDescent="0.4">
      <c r="B105" s="58" t="s">
        <v>708</v>
      </c>
      <c r="C105" s="59" t="s">
        <v>710</v>
      </c>
      <c r="D105" s="59" t="s">
        <v>710</v>
      </c>
      <c r="E105" s="59" t="s">
        <v>709</v>
      </c>
      <c r="F105" s="60" t="s">
        <v>711</v>
      </c>
      <c r="G105" s="61"/>
      <c r="H105" s="59" t="s">
        <v>726</v>
      </c>
      <c r="I105" s="59" t="s">
        <v>730</v>
      </c>
      <c r="J105" s="59" t="s">
        <v>712</v>
      </c>
      <c r="K105" s="59" t="s">
        <v>727</v>
      </c>
      <c r="L105" s="61" t="s">
        <v>715</v>
      </c>
      <c r="M105" s="61" t="s">
        <v>737</v>
      </c>
      <c r="N105" s="59" t="s">
        <v>712</v>
      </c>
      <c r="O105" s="59" t="s">
        <v>738</v>
      </c>
      <c r="P105" s="61" t="s">
        <v>737</v>
      </c>
      <c r="Q105" s="61" t="s">
        <v>714</v>
      </c>
      <c r="R105" s="61"/>
    </row>
    <row r="106" spans="2:18" ht="18.5" x14ac:dyDescent="0.45">
      <c r="B106" s="79" t="s">
        <v>690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53"/>
      <c r="Q106" s="53"/>
      <c r="R106" s="53"/>
    </row>
    <row r="107" spans="2:18" ht="16" x14ac:dyDescent="0.4">
      <c r="B107" s="52" t="s">
        <v>679</v>
      </c>
      <c r="C107" s="80" t="s">
        <v>647</v>
      </c>
      <c r="D107" s="80"/>
      <c r="E107" s="80"/>
      <c r="F107" s="80"/>
      <c r="G107" s="33"/>
      <c r="H107" s="80" t="s">
        <v>648</v>
      </c>
      <c r="I107" s="80"/>
      <c r="J107" s="80"/>
      <c r="K107" s="80"/>
      <c r="L107" s="33"/>
      <c r="M107" s="80" t="s">
        <v>649</v>
      </c>
      <c r="N107" s="80"/>
      <c r="O107" s="80"/>
      <c r="P107" s="53"/>
      <c r="Q107" s="53"/>
      <c r="R107" s="53"/>
    </row>
    <row r="108" spans="2:18" ht="16" x14ac:dyDescent="0.4">
      <c r="B108" s="2" t="s">
        <v>4</v>
      </c>
      <c r="C108" s="2" t="s">
        <v>656</v>
      </c>
      <c r="D108" s="2" t="s">
        <v>657</v>
      </c>
      <c r="E108" s="2" t="s">
        <v>658</v>
      </c>
      <c r="F108" s="2" t="s">
        <v>659</v>
      </c>
      <c r="G108" s="52" t="s">
        <v>686</v>
      </c>
      <c r="H108" s="2" t="s">
        <v>660</v>
      </c>
      <c r="I108" s="2" t="s">
        <v>729</v>
      </c>
      <c r="J108" s="2" t="s">
        <v>661</v>
      </c>
      <c r="K108" s="2" t="s">
        <v>662</v>
      </c>
      <c r="L108" s="52" t="s">
        <v>685</v>
      </c>
      <c r="M108" s="2" t="s">
        <v>731</v>
      </c>
      <c r="N108" s="2" t="s">
        <v>664</v>
      </c>
      <c r="O108" s="2" t="s">
        <v>665</v>
      </c>
      <c r="P108" s="2" t="s">
        <v>666</v>
      </c>
      <c r="Q108" s="52" t="s">
        <v>684</v>
      </c>
      <c r="R108" s="52" t="s">
        <v>683</v>
      </c>
    </row>
    <row r="109" spans="2:18" ht="16" x14ac:dyDescent="0.4">
      <c r="B109" s="2" t="s">
        <v>5</v>
      </c>
      <c r="C109">
        <f t="shared" ref="C109:C140" si="0">IF(C5="",0,IF(C5&lt;=2030,1,IF(C5&lt;=2040,0.75,IF(C5&lt;="2050",0.5,0.2))))</f>
        <v>0.75</v>
      </c>
      <c r="D109">
        <f t="shared" ref="D109:D140" si="1">IF(D5="1+2+3",1,IF(D5="1+2",0.5,IF(D5="1",0.25,IF(D5="Unclear",0))))</f>
        <v>1</v>
      </c>
      <c r="E109">
        <f t="shared" ref="E109:E140" si="2">IF(E5="",0,IF(E5="No",0,IF(E5="Yes",1)))</f>
        <v>1</v>
      </c>
      <c r="F109">
        <f t="shared" ref="F109:F140" si="3">IF(F5=5,1,IF(F5=4,0.8,IF(F5=3,0.6,IF(F5=2,0.4,IF(F5=1,0.2,IF(F5=0,0,IF(F5="N/A",0)))))))</f>
        <v>0</v>
      </c>
      <c r="G109" s="51">
        <f>(Table57[[#This Row],[Net Zero Commitment]]+Table57[[#This Row],[Scope Coverage]]+Table57[[#This Row],[SBTi Validation]]+Table57[[#This Row],[TPI Alignment]])/4</f>
        <v>0.6875</v>
      </c>
      <c r="H109">
        <f t="shared" ref="H109:H140" si="4">IF(H5="",0,IF(H5="None",0,IF(H5="A",0.5,IF(H5="B",0.75,IF(H5="C",1)))))</f>
        <v>0</v>
      </c>
      <c r="I109">
        <f t="shared" ref="I109:I140" si="5">IF(I5="",0,IF(I5="N/A",0,IF(I5&gt;=1,1,IF(I5&gt;=0.75,0.75,IF(I5&gt;=0.5,0.5,IF(I5&gt;=0.25,0.25,IF(I5&gt;0,0.25,0)))))))</f>
        <v>0</v>
      </c>
      <c r="J109">
        <f t="shared" ref="J109:J140" si="6">IF(J5="",0,IF(J5="No",0,IF(J5="Yes",0.75,IF(J5="Gold",1))))</f>
        <v>0</v>
      </c>
      <c r="K109">
        <f t="shared" ref="K109:K140" si="7">IF(K5="",0,IF(K5="No",0,IF(K5="Yes",1)))</f>
        <v>0</v>
      </c>
      <c r="L109" s="51">
        <f>((Table57[[#This Row],[Decarb CapEx]]+Table57[[#This Row],[Green Bonds ($bn)]]+Table57[[#This Row],[Memberships]]+Table57[[#This Row],[Internal Carbon Price]])/4)</f>
        <v>0</v>
      </c>
      <c r="M109">
        <f t="shared" ref="M109:M114" si="8">M5/100</f>
        <v>0.3</v>
      </c>
      <c r="N109">
        <f t="shared" ref="N109:N140" si="9">IF(N5="",0,IF(N5="A",1,IF(N5="A-",0.8,IF(N5="B",0.6,IF(N5="C",0.4,IF(N5="D",0.2,IF(N5="F",0,IF(N5="N/A",0))))))))</f>
        <v>0</v>
      </c>
      <c r="O109">
        <f t="shared" ref="O109:O140" si="10">IF(O5="",0,IF(O5="N/A",0,IF(O5="No",0,IF(O5="Yes",1))))</f>
        <v>0</v>
      </c>
      <c r="P109">
        <f t="shared" ref="P109:P140" si="11">IF(P5="",0,IF(P5="Reasonable",1,IF(P5="Limited",0.5,IF(P5="None",0))))</f>
        <v>0.5</v>
      </c>
      <c r="Q109" s="51">
        <f>((Table57[[#This Row],[Sust. Report Page '# ]]+Table57[[#This Row],[CDP Score]]+Table57[[#This Row],[Climate KPI''s]]+Table57[[#This Row],[Assurance Level]])/4)</f>
        <v>0.2</v>
      </c>
      <c r="R109" s="51">
        <f>((Table57[[#This Row],[E1 Score]]+Table57[[#This Row],[E2 Score]]+Table57[[#This Row],[E3 Score]])/3)</f>
        <v>0.29583333333333334</v>
      </c>
    </row>
    <row r="110" spans="2:18" ht="16" x14ac:dyDescent="0.4">
      <c r="B110" s="2" t="s">
        <v>6</v>
      </c>
      <c r="C110">
        <f t="shared" si="0"/>
        <v>0.75</v>
      </c>
      <c r="D110">
        <f t="shared" si="1"/>
        <v>1</v>
      </c>
      <c r="E110">
        <f t="shared" si="2"/>
        <v>1</v>
      </c>
      <c r="F110">
        <f t="shared" si="3"/>
        <v>0</v>
      </c>
      <c r="G110" s="51">
        <f>(Table57[[#This Row],[Net Zero Commitment]]+Table57[[#This Row],[Scope Coverage]]+Table57[[#This Row],[SBTi Validation]]+Table57[[#This Row],[TPI Alignment]])/4</f>
        <v>0.6875</v>
      </c>
      <c r="H110">
        <f t="shared" si="4"/>
        <v>0</v>
      </c>
      <c r="I110">
        <f t="shared" si="5"/>
        <v>0.75</v>
      </c>
      <c r="J110">
        <f t="shared" si="6"/>
        <v>0</v>
      </c>
      <c r="K110">
        <f t="shared" si="7"/>
        <v>0</v>
      </c>
      <c r="L110" s="51">
        <f>((Table57[[#This Row],[Decarb CapEx]]+Table57[[#This Row],[Green Bonds ($bn)]]+Table57[[#This Row],[Memberships]]+Table57[[#This Row],[Internal Carbon Price]])/4)</f>
        <v>0.1875</v>
      </c>
      <c r="M110">
        <f t="shared" si="8"/>
        <v>0.43</v>
      </c>
      <c r="N110">
        <f t="shared" si="9"/>
        <v>0.6</v>
      </c>
      <c r="O110">
        <f t="shared" si="10"/>
        <v>0</v>
      </c>
      <c r="P110">
        <f t="shared" si="11"/>
        <v>0.5</v>
      </c>
      <c r="Q110" s="51">
        <f>((Table57[[#This Row],[Sust. Report Page '# ]]+Table57[[#This Row],[CDP Score]]+Table57[[#This Row],[Climate KPI''s]]+Table57[[#This Row],[Assurance Level]])/4)</f>
        <v>0.38250000000000001</v>
      </c>
      <c r="R110" s="51">
        <f>((Table57[[#This Row],[E1 Score]]+Table57[[#This Row],[E2 Score]]+Table57[[#This Row],[E3 Score]])/3)</f>
        <v>0.41916666666666669</v>
      </c>
    </row>
    <row r="111" spans="2:18" ht="16" x14ac:dyDescent="0.4">
      <c r="B111" s="2" t="s">
        <v>94</v>
      </c>
      <c r="C111">
        <f t="shared" si="0"/>
        <v>0.5</v>
      </c>
      <c r="D111">
        <f t="shared" si="1"/>
        <v>0</v>
      </c>
      <c r="E111">
        <f t="shared" si="2"/>
        <v>0</v>
      </c>
      <c r="F111">
        <f t="shared" si="3"/>
        <v>0</v>
      </c>
      <c r="G111" s="51">
        <f>(Table57[[#This Row],[Net Zero Commitment]]+Table57[[#This Row],[Scope Coverage]]+Table57[[#This Row],[SBTi Validation]]+Table57[[#This Row],[TPI Alignment]])/4</f>
        <v>0.125</v>
      </c>
      <c r="H111">
        <f t="shared" si="4"/>
        <v>0</v>
      </c>
      <c r="I111">
        <f t="shared" si="5"/>
        <v>0.25</v>
      </c>
      <c r="J111">
        <f t="shared" si="6"/>
        <v>0</v>
      </c>
      <c r="K111">
        <f t="shared" si="7"/>
        <v>0</v>
      </c>
      <c r="L111" s="51">
        <f>((Table57[[#This Row],[Decarb CapEx]]+Table57[[#This Row],[Green Bonds ($bn)]]+Table57[[#This Row],[Memberships]]+Table57[[#This Row],[Internal Carbon Price]])/4)</f>
        <v>6.25E-2</v>
      </c>
      <c r="M111">
        <f t="shared" si="8"/>
        <v>0.5</v>
      </c>
      <c r="N111">
        <f t="shared" si="9"/>
        <v>0</v>
      </c>
      <c r="O111">
        <f t="shared" si="10"/>
        <v>0</v>
      </c>
      <c r="P111">
        <f t="shared" si="11"/>
        <v>0</v>
      </c>
      <c r="Q111" s="51">
        <f>((Table57[[#This Row],[Sust. Report Page '# ]]+Table57[[#This Row],[CDP Score]]+Table57[[#This Row],[Climate KPI''s]]+Table57[[#This Row],[Assurance Level]])/4)</f>
        <v>0.125</v>
      </c>
      <c r="R111" s="51">
        <f>((Table57[[#This Row],[E1 Score]]+Table57[[#This Row],[E2 Score]]+Table57[[#This Row],[E3 Score]])/3)</f>
        <v>0.10416666666666667</v>
      </c>
    </row>
    <row r="112" spans="2:18" ht="16" x14ac:dyDescent="0.4">
      <c r="B112" s="2" t="s">
        <v>7</v>
      </c>
      <c r="C112">
        <f t="shared" si="0"/>
        <v>0.5</v>
      </c>
      <c r="D112">
        <f t="shared" si="1"/>
        <v>0.5</v>
      </c>
      <c r="E112">
        <f t="shared" si="2"/>
        <v>0</v>
      </c>
      <c r="F112">
        <f t="shared" si="3"/>
        <v>0</v>
      </c>
      <c r="G112" s="51">
        <f>(Table57[[#This Row],[Net Zero Commitment]]+Table57[[#This Row],[Scope Coverage]]+Table57[[#This Row],[SBTi Validation]]+Table57[[#This Row],[TPI Alignment]])/4</f>
        <v>0.25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0</v>
      </c>
      <c r="L112" s="51">
        <f>((Table57[[#This Row],[Decarb CapEx]]+Table57[[#This Row],[Green Bonds ($bn)]]+Table57[[#This Row],[Memberships]]+Table57[[#This Row],[Internal Carbon Price]])/4)</f>
        <v>0</v>
      </c>
      <c r="M112">
        <f t="shared" si="8"/>
        <v>0.04</v>
      </c>
      <c r="N112">
        <f t="shared" si="9"/>
        <v>0</v>
      </c>
      <c r="O112">
        <f t="shared" si="10"/>
        <v>0</v>
      </c>
      <c r="P112">
        <f t="shared" si="11"/>
        <v>0</v>
      </c>
      <c r="Q112" s="51">
        <f>((Table57[[#This Row],[Sust. Report Page '# ]]+Table57[[#This Row],[CDP Score]]+Table57[[#This Row],[Climate KPI''s]]+Table57[[#This Row],[Assurance Level]])/4)</f>
        <v>0.01</v>
      </c>
      <c r="R112" s="51">
        <f>((Table57[[#This Row],[E1 Score]]+Table57[[#This Row],[E2 Score]]+Table57[[#This Row],[E3 Score]])/3)</f>
        <v>8.666666666666667E-2</v>
      </c>
    </row>
    <row r="113" spans="2:18" ht="16" x14ac:dyDescent="0.4">
      <c r="B113" s="2" t="s">
        <v>8</v>
      </c>
      <c r="C113">
        <f t="shared" si="0"/>
        <v>0.75</v>
      </c>
      <c r="D113">
        <f t="shared" si="1"/>
        <v>0.5</v>
      </c>
      <c r="E113">
        <f t="shared" si="2"/>
        <v>0</v>
      </c>
      <c r="F113">
        <f t="shared" si="3"/>
        <v>0.8</v>
      </c>
      <c r="G113" s="51">
        <f>(Table57[[#This Row],[Net Zero Commitment]]+Table57[[#This Row],[Scope Coverage]]+Table57[[#This Row],[SBTi Validation]]+Table57[[#This Row],[TPI Alignment]])/4</f>
        <v>0.51249999999999996</v>
      </c>
      <c r="H113">
        <f t="shared" si="4"/>
        <v>0</v>
      </c>
      <c r="I113">
        <f t="shared" si="5"/>
        <v>0.5</v>
      </c>
      <c r="J113">
        <f t="shared" si="6"/>
        <v>0</v>
      </c>
      <c r="K113">
        <f t="shared" si="7"/>
        <v>1</v>
      </c>
      <c r="L113" s="51">
        <f>((Table57[[#This Row],[Decarb CapEx]]+Table57[[#This Row],[Green Bonds ($bn)]]+Table57[[#This Row],[Memberships]]+Table57[[#This Row],[Internal Carbon Price]])/4)</f>
        <v>0.375</v>
      </c>
      <c r="M113">
        <f t="shared" si="8"/>
        <v>1.44</v>
      </c>
      <c r="N113">
        <f t="shared" si="9"/>
        <v>0</v>
      </c>
      <c r="O113">
        <f t="shared" si="10"/>
        <v>1</v>
      </c>
      <c r="P113">
        <f t="shared" si="11"/>
        <v>1</v>
      </c>
      <c r="Q113" s="51">
        <f>((Table57[[#This Row],[Sust. Report Page '# ]]+Table57[[#This Row],[CDP Score]]+Table57[[#This Row],[Climate KPI''s]]+Table57[[#This Row],[Assurance Level]])/4)</f>
        <v>0.86</v>
      </c>
      <c r="R113" s="51">
        <f>((Table57[[#This Row],[E1 Score]]+Table57[[#This Row],[E2 Score]]+Table57[[#This Row],[E3 Score]])/3)</f>
        <v>0.58250000000000002</v>
      </c>
    </row>
    <row r="114" spans="2:18" ht="16" x14ac:dyDescent="0.4">
      <c r="B114" s="2" t="s">
        <v>9</v>
      </c>
      <c r="C114">
        <f t="shared" si="0"/>
        <v>0.5</v>
      </c>
      <c r="D114">
        <f t="shared" si="1"/>
        <v>0.5</v>
      </c>
      <c r="E114">
        <f t="shared" si="2"/>
        <v>1</v>
      </c>
      <c r="F114">
        <f t="shared" si="3"/>
        <v>0.6</v>
      </c>
      <c r="G114" s="51">
        <f>(Table57[[#This Row],[Net Zero Commitment]]+Table57[[#This Row],[Scope Coverage]]+Table57[[#This Row],[SBTi Validation]]+Table57[[#This Row],[TPI Alignment]])/4</f>
        <v>0.65</v>
      </c>
      <c r="H114">
        <f t="shared" si="4"/>
        <v>0.75</v>
      </c>
      <c r="I114">
        <f t="shared" si="5"/>
        <v>0</v>
      </c>
      <c r="J114">
        <f t="shared" si="6"/>
        <v>0</v>
      </c>
      <c r="K114">
        <f t="shared" si="7"/>
        <v>1</v>
      </c>
      <c r="L114" s="51">
        <f>((Table57[[#This Row],[Decarb CapEx]]+Table57[[#This Row],[Green Bonds ($bn)]]+Table57[[#This Row],[Memberships]]+Table57[[#This Row],[Internal Carbon Price]])/4)</f>
        <v>0.4375</v>
      </c>
      <c r="M114">
        <f t="shared" si="8"/>
        <v>0.99</v>
      </c>
      <c r="N114">
        <f t="shared" si="9"/>
        <v>0.6</v>
      </c>
      <c r="O114">
        <f t="shared" si="10"/>
        <v>0</v>
      </c>
      <c r="P114">
        <f t="shared" si="11"/>
        <v>0.5</v>
      </c>
      <c r="Q114" s="51">
        <f>((Table57[[#This Row],[Sust. Report Page '# ]]+Table57[[#This Row],[CDP Score]]+Table57[[#This Row],[Climate KPI''s]]+Table57[[#This Row],[Assurance Level]])/4)</f>
        <v>0.52249999999999996</v>
      </c>
      <c r="R114" s="51">
        <f>((Table57[[#This Row],[E1 Score]]+Table57[[#This Row],[E2 Score]]+Table57[[#This Row],[E3 Score]])/3)</f>
        <v>0.53666666666666663</v>
      </c>
    </row>
    <row r="115" spans="2:18" ht="16" x14ac:dyDescent="0.4">
      <c r="B115" s="2" t="s">
        <v>10</v>
      </c>
      <c r="C115">
        <f t="shared" si="0"/>
        <v>0.5</v>
      </c>
      <c r="D115">
        <f t="shared" si="1"/>
        <v>0.5</v>
      </c>
      <c r="E115">
        <f t="shared" si="2"/>
        <v>0</v>
      </c>
      <c r="F115">
        <f t="shared" si="3"/>
        <v>0.6</v>
      </c>
      <c r="G115" s="51">
        <f>(Table57[[#This Row],[Net Zero Commitment]]+Table57[[#This Row],[Scope Coverage]]+Table57[[#This Row],[SBTi Validation]]+Table57[[#This Row],[TPI Alignment]])/4</f>
        <v>0.4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0</v>
      </c>
      <c r="L115" s="51">
        <f>((Table57[[#This Row],[Decarb CapEx]]+Table57[[#This Row],[Green Bonds ($bn)]]+Table57[[#This Row],[Memberships]]+Table57[[#This Row],[Internal Carbon Price]])/4)</f>
        <v>0</v>
      </c>
      <c r="M115">
        <v>0</v>
      </c>
      <c r="N115">
        <f t="shared" si="9"/>
        <v>0.6</v>
      </c>
      <c r="O115">
        <f t="shared" si="10"/>
        <v>0</v>
      </c>
      <c r="P115">
        <f t="shared" si="11"/>
        <v>0</v>
      </c>
      <c r="Q115" s="51">
        <f>((Table57[[#This Row],[Sust. Report Page '# ]]+Table57[[#This Row],[CDP Score]]+Table57[[#This Row],[Climate KPI''s]]+Table57[[#This Row],[Assurance Level]])/4)</f>
        <v>0.15</v>
      </c>
      <c r="R115" s="51">
        <f>((Table57[[#This Row],[E1 Score]]+Table57[[#This Row],[E2 Score]]+Table57[[#This Row],[E3 Score]])/3)</f>
        <v>0.18333333333333335</v>
      </c>
    </row>
    <row r="116" spans="2:18" ht="16" x14ac:dyDescent="0.4">
      <c r="B116" s="2" t="s">
        <v>11</v>
      </c>
      <c r="C116">
        <f t="shared" si="0"/>
        <v>0.5</v>
      </c>
      <c r="D116">
        <f t="shared" si="1"/>
        <v>1</v>
      </c>
      <c r="E116">
        <f t="shared" si="2"/>
        <v>0</v>
      </c>
      <c r="F116">
        <f t="shared" si="3"/>
        <v>1</v>
      </c>
      <c r="G116" s="51">
        <f>(Table57[[#This Row],[Net Zero Commitment]]+Table57[[#This Row],[Scope Coverage]]+Table57[[#This Row],[SBTi Validation]]+Table57[[#This Row],[TPI Alignment]])/4</f>
        <v>0.625</v>
      </c>
      <c r="H116">
        <f t="shared" si="4"/>
        <v>1</v>
      </c>
      <c r="I116">
        <f t="shared" si="5"/>
        <v>0</v>
      </c>
      <c r="J116">
        <f t="shared" si="6"/>
        <v>0</v>
      </c>
      <c r="K116">
        <f t="shared" si="7"/>
        <v>1</v>
      </c>
      <c r="L116" s="51">
        <f>((Table57[[#This Row],[Decarb CapEx]]+Table57[[#This Row],[Green Bonds ($bn)]]+Table57[[#This Row],[Memberships]]+Table57[[#This Row],[Internal Carbon Price]])/4)</f>
        <v>0.5</v>
      </c>
      <c r="M116">
        <f t="shared" ref="M116:M122" si="12">M12/100</f>
        <v>0.27</v>
      </c>
      <c r="N116">
        <f t="shared" si="9"/>
        <v>0.6</v>
      </c>
      <c r="O116">
        <f t="shared" si="10"/>
        <v>1</v>
      </c>
      <c r="P116">
        <f t="shared" si="11"/>
        <v>0.5</v>
      </c>
      <c r="Q116" s="51">
        <f>((Table57[[#This Row],[Sust. Report Page '# ]]+Table57[[#This Row],[CDP Score]]+Table57[[#This Row],[Climate KPI''s]]+Table57[[#This Row],[Assurance Level]])/4)</f>
        <v>0.59250000000000003</v>
      </c>
      <c r="R116" s="51">
        <f>((Table57[[#This Row],[E1 Score]]+Table57[[#This Row],[E2 Score]]+Table57[[#This Row],[E3 Score]])/3)</f>
        <v>0.57250000000000001</v>
      </c>
    </row>
    <row r="117" spans="2:18" ht="16" x14ac:dyDescent="0.4">
      <c r="B117" s="2" t="s">
        <v>12</v>
      </c>
      <c r="C117">
        <f t="shared" si="0"/>
        <v>1</v>
      </c>
      <c r="D117">
        <f t="shared" si="1"/>
        <v>1</v>
      </c>
      <c r="E117">
        <f t="shared" si="2"/>
        <v>1</v>
      </c>
      <c r="F117">
        <f t="shared" si="3"/>
        <v>1</v>
      </c>
      <c r="G117" s="51">
        <f>(Table57[[#This Row],[Net Zero Commitment]]+Table57[[#This Row],[Scope Coverage]]+Table57[[#This Row],[SBTi Validation]]+Table57[[#This Row],[TPI Alignment]])/4</f>
        <v>1</v>
      </c>
      <c r="H117">
        <f t="shared" si="4"/>
        <v>1</v>
      </c>
      <c r="I117">
        <f t="shared" si="5"/>
        <v>0</v>
      </c>
      <c r="J117">
        <f t="shared" si="6"/>
        <v>1</v>
      </c>
      <c r="K117">
        <f t="shared" si="7"/>
        <v>1</v>
      </c>
      <c r="L117" s="51">
        <f>((Table57[[#This Row],[Decarb CapEx]]+Table57[[#This Row],[Green Bonds ($bn)]]+Table57[[#This Row],[Memberships]]+Table57[[#This Row],[Internal Carbon Price]])/4)</f>
        <v>0.75</v>
      </c>
      <c r="M117">
        <f t="shared" si="12"/>
        <v>0.4</v>
      </c>
      <c r="N117">
        <f t="shared" si="9"/>
        <v>0</v>
      </c>
      <c r="O117">
        <f t="shared" si="10"/>
        <v>1</v>
      </c>
      <c r="P117">
        <f t="shared" si="11"/>
        <v>0.5</v>
      </c>
      <c r="Q117" s="51">
        <f>((Table57[[#This Row],[Sust. Report Page '# ]]+Table57[[#This Row],[CDP Score]]+Table57[[#This Row],[Climate KPI''s]]+Table57[[#This Row],[Assurance Level]])/4)</f>
        <v>0.47499999999999998</v>
      </c>
      <c r="R117" s="51">
        <f>((Table57[[#This Row],[E1 Score]]+Table57[[#This Row],[E2 Score]]+Table57[[#This Row],[E3 Score]])/3)</f>
        <v>0.7416666666666667</v>
      </c>
    </row>
    <row r="118" spans="2:18" ht="16" x14ac:dyDescent="0.4">
      <c r="B118" s="2" t="s">
        <v>13</v>
      </c>
      <c r="C118">
        <f t="shared" si="0"/>
        <v>0.75</v>
      </c>
      <c r="D118">
        <f t="shared" si="1"/>
        <v>1</v>
      </c>
      <c r="E118">
        <f t="shared" si="2"/>
        <v>0</v>
      </c>
      <c r="F118">
        <f t="shared" si="3"/>
        <v>0</v>
      </c>
      <c r="G118" s="51">
        <f>(Table57[[#This Row],[Net Zero Commitment]]+Table57[[#This Row],[Scope Coverage]]+Table57[[#This Row],[SBTi Validation]]+Table57[[#This Row],[TPI Alignment]])/4</f>
        <v>0.4375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  <c r="L118" s="51">
        <f>((Table57[[#This Row],[Decarb CapEx]]+Table57[[#This Row],[Green Bonds ($bn)]]+Table57[[#This Row],[Memberships]]+Table57[[#This Row],[Internal Carbon Price]])/4)</f>
        <v>0</v>
      </c>
      <c r="M118">
        <f t="shared" si="12"/>
        <v>0.18</v>
      </c>
      <c r="N118">
        <f t="shared" si="9"/>
        <v>0.6</v>
      </c>
      <c r="O118">
        <f t="shared" si="10"/>
        <v>0</v>
      </c>
      <c r="P118">
        <f t="shared" si="11"/>
        <v>0.5</v>
      </c>
      <c r="Q118" s="51">
        <f>((Table57[[#This Row],[Sust. Report Page '# ]]+Table57[[#This Row],[CDP Score]]+Table57[[#This Row],[Climate KPI''s]]+Table57[[#This Row],[Assurance Level]])/4)</f>
        <v>0.32</v>
      </c>
      <c r="R118" s="51">
        <f>((Table57[[#This Row],[E1 Score]]+Table57[[#This Row],[E2 Score]]+Table57[[#This Row],[E3 Score]])/3)</f>
        <v>0.2525</v>
      </c>
    </row>
    <row r="119" spans="2:18" ht="16" x14ac:dyDescent="0.4">
      <c r="B119" s="2" t="s">
        <v>14</v>
      </c>
      <c r="C119">
        <f t="shared" si="0"/>
        <v>0.75</v>
      </c>
      <c r="D119">
        <f t="shared" si="1"/>
        <v>1</v>
      </c>
      <c r="E119">
        <f t="shared" si="2"/>
        <v>1</v>
      </c>
      <c r="F119">
        <f t="shared" si="3"/>
        <v>0</v>
      </c>
      <c r="G119" s="51">
        <f>(Table57[[#This Row],[Net Zero Commitment]]+Table57[[#This Row],[Scope Coverage]]+Table57[[#This Row],[SBTi Validation]]+Table57[[#This Row],[TPI Alignment]])/4</f>
        <v>0.6875</v>
      </c>
      <c r="H119">
        <f t="shared" si="4"/>
        <v>0.75</v>
      </c>
      <c r="I119">
        <f t="shared" si="5"/>
        <v>0</v>
      </c>
      <c r="J119">
        <f t="shared" si="6"/>
        <v>0.75</v>
      </c>
      <c r="K119">
        <f t="shared" si="7"/>
        <v>0</v>
      </c>
      <c r="L119" s="51">
        <f>((Table57[[#This Row],[Decarb CapEx]]+Table57[[#This Row],[Green Bonds ($bn)]]+Table57[[#This Row],[Memberships]]+Table57[[#This Row],[Internal Carbon Price]])/4)</f>
        <v>0.375</v>
      </c>
      <c r="M119">
        <f t="shared" si="12"/>
        <v>0.11</v>
      </c>
      <c r="N119">
        <f t="shared" si="9"/>
        <v>0.8</v>
      </c>
      <c r="O119">
        <f t="shared" si="10"/>
        <v>0</v>
      </c>
      <c r="P119">
        <f t="shared" si="11"/>
        <v>0</v>
      </c>
      <c r="Q119" s="51">
        <f>((Table57[[#This Row],[Sust. Report Page '# ]]+Table57[[#This Row],[CDP Score]]+Table57[[#This Row],[Climate KPI''s]]+Table57[[#This Row],[Assurance Level]])/4)</f>
        <v>0.22750000000000001</v>
      </c>
      <c r="R119" s="51">
        <f>((Table57[[#This Row],[E1 Score]]+Table57[[#This Row],[E2 Score]]+Table57[[#This Row],[E3 Score]])/3)</f>
        <v>0.43</v>
      </c>
    </row>
    <row r="120" spans="2:18" ht="16" x14ac:dyDescent="0.4">
      <c r="B120" s="2" t="s">
        <v>139</v>
      </c>
      <c r="C120">
        <f t="shared" si="0"/>
        <v>0.5</v>
      </c>
      <c r="D120">
        <f t="shared" si="1"/>
        <v>1</v>
      </c>
      <c r="E120">
        <f t="shared" si="2"/>
        <v>0</v>
      </c>
      <c r="F120">
        <f t="shared" si="3"/>
        <v>0</v>
      </c>
      <c r="G120" s="51">
        <f>(Table57[[#This Row],[Net Zero Commitment]]+Table57[[#This Row],[Scope Coverage]]+Table57[[#This Row],[SBTi Validation]]+Table57[[#This Row],[TPI Alignment]])/4</f>
        <v>0.375</v>
      </c>
      <c r="H120">
        <f t="shared" si="4"/>
        <v>0.75</v>
      </c>
      <c r="I120">
        <f t="shared" si="5"/>
        <v>0</v>
      </c>
      <c r="J120">
        <f t="shared" si="6"/>
        <v>0</v>
      </c>
      <c r="K120">
        <f t="shared" si="7"/>
        <v>0</v>
      </c>
      <c r="L120" s="51">
        <f>((Table57[[#This Row],[Decarb CapEx]]+Table57[[#This Row],[Green Bonds ($bn)]]+Table57[[#This Row],[Memberships]]+Table57[[#This Row],[Internal Carbon Price]])/4)</f>
        <v>0.1875</v>
      </c>
      <c r="M120">
        <f t="shared" si="12"/>
        <v>0.32</v>
      </c>
      <c r="N120">
        <f t="shared" si="9"/>
        <v>0</v>
      </c>
      <c r="O120">
        <f t="shared" si="10"/>
        <v>0</v>
      </c>
      <c r="P120">
        <f t="shared" si="11"/>
        <v>0.5</v>
      </c>
      <c r="Q120" s="51">
        <f>((Table57[[#This Row],[Sust. Report Page '# ]]+Table57[[#This Row],[CDP Score]]+Table57[[#This Row],[Climate KPI''s]]+Table57[[#This Row],[Assurance Level]])/4)</f>
        <v>0.20500000000000002</v>
      </c>
      <c r="R120" s="51">
        <f>((Table57[[#This Row],[E1 Score]]+Table57[[#This Row],[E2 Score]]+Table57[[#This Row],[E3 Score]])/3)</f>
        <v>0.25583333333333336</v>
      </c>
    </row>
    <row r="121" spans="2:18" ht="16" x14ac:dyDescent="0.4">
      <c r="B121" s="2" t="s">
        <v>15</v>
      </c>
      <c r="C121">
        <f t="shared" si="0"/>
        <v>1</v>
      </c>
      <c r="D121">
        <f t="shared" si="1"/>
        <v>1</v>
      </c>
      <c r="E121">
        <f t="shared" si="2"/>
        <v>1</v>
      </c>
      <c r="F121">
        <f t="shared" si="3"/>
        <v>0.8</v>
      </c>
      <c r="G121" s="51">
        <f>(Table57[[#This Row],[Net Zero Commitment]]+Table57[[#This Row],[Scope Coverage]]+Table57[[#This Row],[SBTi Validation]]+Table57[[#This Row],[TPI Alignment]])/4</f>
        <v>0.95</v>
      </c>
      <c r="H121">
        <f t="shared" si="4"/>
        <v>0</v>
      </c>
      <c r="I121">
        <f t="shared" si="5"/>
        <v>0</v>
      </c>
      <c r="J121">
        <f t="shared" si="6"/>
        <v>0</v>
      </c>
      <c r="K121">
        <f t="shared" si="7"/>
        <v>0</v>
      </c>
      <c r="L121" s="51">
        <f>((Table57[[#This Row],[Decarb CapEx]]+Table57[[#This Row],[Green Bonds ($bn)]]+Table57[[#This Row],[Memberships]]+Table57[[#This Row],[Internal Carbon Price]])/4)</f>
        <v>0</v>
      </c>
      <c r="M121">
        <f t="shared" si="12"/>
        <v>0.06</v>
      </c>
      <c r="N121">
        <f t="shared" si="9"/>
        <v>0</v>
      </c>
      <c r="O121">
        <f t="shared" si="10"/>
        <v>1</v>
      </c>
      <c r="P121">
        <f t="shared" si="11"/>
        <v>0.5</v>
      </c>
      <c r="Q121" s="51">
        <f>((Table57[[#This Row],[Sust. Report Page '# ]]+Table57[[#This Row],[CDP Score]]+Table57[[#This Row],[Climate KPI''s]]+Table57[[#This Row],[Assurance Level]])/4)</f>
        <v>0.39</v>
      </c>
      <c r="R121" s="51">
        <f>((Table57[[#This Row],[E1 Score]]+Table57[[#This Row],[E2 Score]]+Table57[[#This Row],[E3 Score]])/3)</f>
        <v>0.4466666666666666</v>
      </c>
    </row>
    <row r="122" spans="2:18" ht="16" x14ac:dyDescent="0.4">
      <c r="B122" s="2" t="s">
        <v>16</v>
      </c>
      <c r="C122">
        <f t="shared" si="0"/>
        <v>0.5</v>
      </c>
      <c r="D122">
        <f t="shared" si="1"/>
        <v>1</v>
      </c>
      <c r="E122">
        <f t="shared" si="2"/>
        <v>0</v>
      </c>
      <c r="F122">
        <f t="shared" si="3"/>
        <v>1</v>
      </c>
      <c r="G122" s="51">
        <f>(Table57[[#This Row],[Net Zero Commitment]]+Table57[[#This Row],[Scope Coverage]]+Table57[[#This Row],[SBTi Validation]]+Table57[[#This Row],[TPI Alignment]])/4</f>
        <v>0.625</v>
      </c>
      <c r="H122">
        <f t="shared" si="4"/>
        <v>1</v>
      </c>
      <c r="I122">
        <f t="shared" si="5"/>
        <v>1</v>
      </c>
      <c r="J122">
        <f t="shared" si="6"/>
        <v>1</v>
      </c>
      <c r="K122">
        <f t="shared" si="7"/>
        <v>1</v>
      </c>
      <c r="L122" s="51">
        <f>((Table57[[#This Row],[Decarb CapEx]]+Table57[[#This Row],[Green Bonds ($bn)]]+Table57[[#This Row],[Memberships]]+Table57[[#This Row],[Internal Carbon Price]])/4)</f>
        <v>1</v>
      </c>
      <c r="M122">
        <f t="shared" si="12"/>
        <v>0.41</v>
      </c>
      <c r="N122">
        <f t="shared" si="9"/>
        <v>0.8</v>
      </c>
      <c r="O122">
        <f t="shared" si="10"/>
        <v>1</v>
      </c>
      <c r="P122">
        <f t="shared" si="11"/>
        <v>0.5</v>
      </c>
      <c r="Q122" s="51">
        <f>((Table57[[#This Row],[Sust. Report Page '# ]]+Table57[[#This Row],[CDP Score]]+Table57[[#This Row],[Climate KPI''s]]+Table57[[#This Row],[Assurance Level]])/4)</f>
        <v>0.67749999999999999</v>
      </c>
      <c r="R122" s="51">
        <f>((Table57[[#This Row],[E1 Score]]+Table57[[#This Row],[E2 Score]]+Table57[[#This Row],[E3 Score]])/3)</f>
        <v>0.76750000000000007</v>
      </c>
    </row>
    <row r="123" spans="2:18" ht="16" x14ac:dyDescent="0.4">
      <c r="B123" s="2" t="s">
        <v>17</v>
      </c>
      <c r="C123">
        <f t="shared" si="0"/>
        <v>0.75</v>
      </c>
      <c r="D123">
        <f t="shared" si="1"/>
        <v>0</v>
      </c>
      <c r="E123">
        <f t="shared" si="2"/>
        <v>1</v>
      </c>
      <c r="F123">
        <f t="shared" si="3"/>
        <v>0</v>
      </c>
      <c r="G123" s="51">
        <f>(Table57[[#This Row],[Net Zero Commitment]]+Table57[[#This Row],[Scope Coverage]]+Table57[[#This Row],[SBTi Validation]]+Table57[[#This Row],[TPI Alignment]])/4</f>
        <v>0.4375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0</v>
      </c>
      <c r="L123" s="51">
        <f>((Table57[[#This Row],[Decarb CapEx]]+Table57[[#This Row],[Green Bonds ($bn)]]+Table57[[#This Row],[Memberships]]+Table57[[#This Row],[Internal Carbon Price]])/4)</f>
        <v>0</v>
      </c>
      <c r="M123">
        <v>0</v>
      </c>
      <c r="N123">
        <f t="shared" si="9"/>
        <v>1</v>
      </c>
      <c r="O123">
        <f t="shared" si="10"/>
        <v>0</v>
      </c>
      <c r="P123">
        <f t="shared" si="11"/>
        <v>0.5</v>
      </c>
      <c r="Q123" s="51">
        <f>((Table57[[#This Row],[Sust. Report Page '# ]]+Table57[[#This Row],[CDP Score]]+Table57[[#This Row],[Climate KPI''s]]+Table57[[#This Row],[Assurance Level]])/4)</f>
        <v>0.375</v>
      </c>
      <c r="R123" s="51">
        <f>((Table57[[#This Row],[E1 Score]]+Table57[[#This Row],[E2 Score]]+Table57[[#This Row],[E3 Score]])/3)</f>
        <v>0.27083333333333331</v>
      </c>
    </row>
    <row r="124" spans="2:18" ht="16" x14ac:dyDescent="0.4">
      <c r="B124" s="2" t="s">
        <v>18</v>
      </c>
      <c r="C124">
        <f t="shared" si="0"/>
        <v>0.5</v>
      </c>
      <c r="D124">
        <f t="shared" si="1"/>
        <v>0.5</v>
      </c>
      <c r="E124">
        <f t="shared" si="2"/>
        <v>0</v>
      </c>
      <c r="F124">
        <f t="shared" si="3"/>
        <v>0</v>
      </c>
      <c r="G124" s="51">
        <f>(Table57[[#This Row],[Net Zero Commitment]]+Table57[[#This Row],[Scope Coverage]]+Table57[[#This Row],[SBTi Validation]]+Table57[[#This Row],[TPI Alignment]])/4</f>
        <v>0.25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0</v>
      </c>
      <c r="L124" s="51">
        <f>((Table57[[#This Row],[Decarb CapEx]]+Table57[[#This Row],[Green Bonds ($bn)]]+Table57[[#This Row],[Memberships]]+Table57[[#This Row],[Internal Carbon Price]])/4)</f>
        <v>0</v>
      </c>
      <c r="M124">
        <f t="shared" ref="M124:M134" si="13">M20/100</f>
        <v>0.26</v>
      </c>
      <c r="N124">
        <f t="shared" si="9"/>
        <v>0</v>
      </c>
      <c r="O124">
        <f t="shared" si="10"/>
        <v>0</v>
      </c>
      <c r="P124">
        <f t="shared" si="11"/>
        <v>0</v>
      </c>
      <c r="Q124" s="51">
        <f>((Table57[[#This Row],[Sust. Report Page '# ]]+Table57[[#This Row],[CDP Score]]+Table57[[#This Row],[Climate KPI''s]]+Table57[[#This Row],[Assurance Level]])/4)</f>
        <v>6.5000000000000002E-2</v>
      </c>
      <c r="R124" s="51">
        <f>((Table57[[#This Row],[E1 Score]]+Table57[[#This Row],[E2 Score]]+Table57[[#This Row],[E3 Score]])/3)</f>
        <v>0.105</v>
      </c>
    </row>
    <row r="125" spans="2:18" ht="16" x14ac:dyDescent="0.4">
      <c r="B125" s="2" t="s">
        <v>163</v>
      </c>
      <c r="C125">
        <f t="shared" si="0"/>
        <v>0.5</v>
      </c>
      <c r="D125">
        <f t="shared" si="1"/>
        <v>1</v>
      </c>
      <c r="E125">
        <f t="shared" si="2"/>
        <v>0</v>
      </c>
      <c r="F125">
        <f t="shared" si="3"/>
        <v>0</v>
      </c>
      <c r="G125" s="51">
        <f>(Table57[[#This Row],[Net Zero Commitment]]+Table57[[#This Row],[Scope Coverage]]+Table57[[#This Row],[SBTi Validation]]+Table57[[#This Row],[TPI Alignment]])/4</f>
        <v>0.375</v>
      </c>
      <c r="H125">
        <f t="shared" si="4"/>
        <v>0</v>
      </c>
      <c r="I125">
        <f t="shared" si="5"/>
        <v>0.5</v>
      </c>
      <c r="J125">
        <f t="shared" si="6"/>
        <v>0</v>
      </c>
      <c r="K125">
        <f t="shared" si="7"/>
        <v>0</v>
      </c>
      <c r="L125" s="51">
        <f>((Table57[[#This Row],[Decarb CapEx]]+Table57[[#This Row],[Green Bonds ($bn)]]+Table57[[#This Row],[Memberships]]+Table57[[#This Row],[Internal Carbon Price]])/4)</f>
        <v>0.125</v>
      </c>
      <c r="M125">
        <f t="shared" si="13"/>
        <v>0.3</v>
      </c>
      <c r="N125">
        <f t="shared" si="9"/>
        <v>0</v>
      </c>
      <c r="O125">
        <f t="shared" si="10"/>
        <v>0</v>
      </c>
      <c r="P125">
        <f t="shared" si="11"/>
        <v>0.5</v>
      </c>
      <c r="Q125" s="51">
        <f>((Table57[[#This Row],[Sust. Report Page '# ]]+Table57[[#This Row],[CDP Score]]+Table57[[#This Row],[Climate KPI''s]]+Table57[[#This Row],[Assurance Level]])/4)</f>
        <v>0.2</v>
      </c>
      <c r="R125" s="51">
        <f>((Table57[[#This Row],[E1 Score]]+Table57[[#This Row],[E2 Score]]+Table57[[#This Row],[E3 Score]])/3)</f>
        <v>0.23333333333333331</v>
      </c>
    </row>
    <row r="126" spans="2:18" ht="16" x14ac:dyDescent="0.4">
      <c r="B126" s="2" t="s">
        <v>19</v>
      </c>
      <c r="C126">
        <f t="shared" si="0"/>
        <v>0.5</v>
      </c>
      <c r="D126">
        <f t="shared" si="1"/>
        <v>1</v>
      </c>
      <c r="E126">
        <f t="shared" si="2"/>
        <v>1</v>
      </c>
      <c r="F126">
        <f t="shared" si="3"/>
        <v>1</v>
      </c>
      <c r="G126" s="51">
        <f>(Table57[[#This Row],[Net Zero Commitment]]+Table57[[#This Row],[Scope Coverage]]+Table57[[#This Row],[SBTi Validation]]+Table57[[#This Row],[TPI Alignment]])/4</f>
        <v>0.875</v>
      </c>
      <c r="H126">
        <f t="shared" si="4"/>
        <v>1</v>
      </c>
      <c r="I126">
        <f t="shared" si="5"/>
        <v>0</v>
      </c>
      <c r="J126">
        <f t="shared" si="6"/>
        <v>0</v>
      </c>
      <c r="K126">
        <f t="shared" si="7"/>
        <v>1</v>
      </c>
      <c r="L126" s="51">
        <f>((Table57[[#This Row],[Decarb CapEx]]+Table57[[#This Row],[Green Bonds ($bn)]]+Table57[[#This Row],[Memberships]]+Table57[[#This Row],[Internal Carbon Price]])/4)</f>
        <v>0.5</v>
      </c>
      <c r="M126">
        <f t="shared" si="13"/>
        <v>0.49</v>
      </c>
      <c r="N126">
        <f t="shared" si="9"/>
        <v>0</v>
      </c>
      <c r="O126">
        <f t="shared" si="10"/>
        <v>1</v>
      </c>
      <c r="P126">
        <f t="shared" si="11"/>
        <v>0</v>
      </c>
      <c r="Q126" s="51">
        <f>((Table57[[#This Row],[Sust. Report Page '# ]]+Table57[[#This Row],[CDP Score]]+Table57[[#This Row],[Climate KPI''s]]+Table57[[#This Row],[Assurance Level]])/4)</f>
        <v>0.3725</v>
      </c>
      <c r="R126" s="51">
        <f>((Table57[[#This Row],[E1 Score]]+Table57[[#This Row],[E2 Score]]+Table57[[#This Row],[E3 Score]])/3)</f>
        <v>0.58250000000000002</v>
      </c>
    </row>
    <row r="127" spans="2:18" ht="16" x14ac:dyDescent="0.4">
      <c r="B127" s="2" t="s">
        <v>20</v>
      </c>
      <c r="C127">
        <f t="shared" si="0"/>
        <v>0.5</v>
      </c>
      <c r="D127">
        <f t="shared" si="1"/>
        <v>1</v>
      </c>
      <c r="E127">
        <f t="shared" si="2"/>
        <v>1</v>
      </c>
      <c r="F127">
        <f t="shared" si="3"/>
        <v>0.6</v>
      </c>
      <c r="G127" s="51">
        <f>(Table57[[#This Row],[Net Zero Commitment]]+Table57[[#This Row],[Scope Coverage]]+Table57[[#This Row],[SBTi Validation]]+Table57[[#This Row],[TPI Alignment]])/4</f>
        <v>0.77500000000000002</v>
      </c>
      <c r="H127">
        <f t="shared" si="4"/>
        <v>0.5</v>
      </c>
      <c r="I127">
        <f t="shared" si="5"/>
        <v>0</v>
      </c>
      <c r="J127">
        <f t="shared" si="6"/>
        <v>0</v>
      </c>
      <c r="K127">
        <f t="shared" si="7"/>
        <v>1</v>
      </c>
      <c r="L127" s="51">
        <f>((Table57[[#This Row],[Decarb CapEx]]+Table57[[#This Row],[Green Bonds ($bn)]]+Table57[[#This Row],[Memberships]]+Table57[[#This Row],[Internal Carbon Price]])/4)</f>
        <v>0.375</v>
      </c>
      <c r="M127">
        <f t="shared" si="13"/>
        <v>1.04</v>
      </c>
      <c r="N127">
        <f t="shared" si="9"/>
        <v>1</v>
      </c>
      <c r="O127">
        <f t="shared" si="10"/>
        <v>0</v>
      </c>
      <c r="P127">
        <f t="shared" si="11"/>
        <v>0</v>
      </c>
      <c r="Q127" s="51">
        <f>((Table57[[#This Row],[Sust. Report Page '# ]]+Table57[[#This Row],[CDP Score]]+Table57[[#This Row],[Climate KPI''s]]+Table57[[#This Row],[Assurance Level]])/4)</f>
        <v>0.51</v>
      </c>
      <c r="R127" s="51">
        <f>((Table57[[#This Row],[E1 Score]]+Table57[[#This Row],[E2 Score]]+Table57[[#This Row],[E3 Score]])/3)</f>
        <v>0.55333333333333334</v>
      </c>
    </row>
    <row r="128" spans="2:18" ht="16" x14ac:dyDescent="0.4">
      <c r="B128" s="2" t="s">
        <v>21</v>
      </c>
      <c r="C128">
        <f t="shared" si="0"/>
        <v>1</v>
      </c>
      <c r="D128">
        <f t="shared" si="1"/>
        <v>0.5</v>
      </c>
      <c r="E128">
        <f t="shared" si="2"/>
        <v>0</v>
      </c>
      <c r="F128">
        <f t="shared" si="3"/>
        <v>0</v>
      </c>
      <c r="G128" s="51">
        <f>(Table57[[#This Row],[Net Zero Commitment]]+Table57[[#This Row],[Scope Coverage]]+Table57[[#This Row],[SBTi Validation]]+Table57[[#This Row],[TPI Alignment]])/4</f>
        <v>0.375</v>
      </c>
      <c r="H128">
        <f t="shared" si="4"/>
        <v>0</v>
      </c>
      <c r="I128">
        <f t="shared" si="5"/>
        <v>0</v>
      </c>
      <c r="J128">
        <f t="shared" si="6"/>
        <v>0.75</v>
      </c>
      <c r="K128">
        <f t="shared" si="7"/>
        <v>0</v>
      </c>
      <c r="L128" s="51">
        <f>((Table57[[#This Row],[Decarb CapEx]]+Table57[[#This Row],[Green Bonds ($bn)]]+Table57[[#This Row],[Memberships]]+Table57[[#This Row],[Internal Carbon Price]])/4)</f>
        <v>0.1875</v>
      </c>
      <c r="M128">
        <f t="shared" si="13"/>
        <v>0.27</v>
      </c>
      <c r="N128">
        <f t="shared" si="9"/>
        <v>0</v>
      </c>
      <c r="O128">
        <f t="shared" si="10"/>
        <v>0</v>
      </c>
      <c r="P128">
        <f t="shared" si="11"/>
        <v>0</v>
      </c>
      <c r="Q128" s="51">
        <f>((Table57[[#This Row],[Sust. Report Page '# ]]+Table57[[#This Row],[CDP Score]]+Table57[[#This Row],[Climate KPI''s]]+Table57[[#This Row],[Assurance Level]])/4)</f>
        <v>6.7500000000000004E-2</v>
      </c>
      <c r="R128" s="51">
        <f>((Table57[[#This Row],[E1 Score]]+Table57[[#This Row],[E2 Score]]+Table57[[#This Row],[E3 Score]])/3)</f>
        <v>0.21</v>
      </c>
    </row>
    <row r="129" spans="2:18" ht="16" x14ac:dyDescent="0.4">
      <c r="B129" s="2" t="s">
        <v>22</v>
      </c>
      <c r="C129">
        <f t="shared" si="0"/>
        <v>0.5</v>
      </c>
      <c r="D129">
        <f t="shared" si="1"/>
        <v>1</v>
      </c>
      <c r="E129">
        <f t="shared" si="2"/>
        <v>1</v>
      </c>
      <c r="F129">
        <f t="shared" si="3"/>
        <v>1</v>
      </c>
      <c r="G129" s="51">
        <f>(Table57[[#This Row],[Net Zero Commitment]]+Table57[[#This Row],[Scope Coverage]]+Table57[[#This Row],[SBTi Validation]]+Table57[[#This Row],[TPI Alignment]])/4</f>
        <v>0.875</v>
      </c>
      <c r="H129">
        <f t="shared" si="4"/>
        <v>1</v>
      </c>
      <c r="I129">
        <f t="shared" si="5"/>
        <v>0</v>
      </c>
      <c r="J129">
        <f t="shared" si="6"/>
        <v>0.75</v>
      </c>
      <c r="K129">
        <f t="shared" si="7"/>
        <v>1</v>
      </c>
      <c r="L129" s="51">
        <f>((Table57[[#This Row],[Decarb CapEx]]+Table57[[#This Row],[Green Bonds ($bn)]]+Table57[[#This Row],[Memberships]]+Table57[[#This Row],[Internal Carbon Price]])/4)</f>
        <v>0.6875</v>
      </c>
      <c r="M129">
        <f t="shared" si="13"/>
        <v>0.23</v>
      </c>
      <c r="N129">
        <f t="shared" si="9"/>
        <v>1</v>
      </c>
      <c r="O129">
        <f t="shared" si="10"/>
        <v>1</v>
      </c>
      <c r="P129">
        <f t="shared" si="11"/>
        <v>1</v>
      </c>
      <c r="Q129" s="51">
        <f>((Table57[[#This Row],[Sust. Report Page '# ]]+Table57[[#This Row],[CDP Score]]+Table57[[#This Row],[Climate KPI''s]]+Table57[[#This Row],[Assurance Level]])/4)</f>
        <v>0.8075</v>
      </c>
      <c r="R129" s="51">
        <f>((Table57[[#This Row],[E1 Score]]+Table57[[#This Row],[E2 Score]]+Table57[[#This Row],[E3 Score]])/3)</f>
        <v>0.79</v>
      </c>
    </row>
    <row r="130" spans="2:18" ht="16" x14ac:dyDescent="0.4">
      <c r="B130" s="2" t="s">
        <v>23</v>
      </c>
      <c r="C130">
        <f t="shared" si="0"/>
        <v>0.5</v>
      </c>
      <c r="D130">
        <f t="shared" si="1"/>
        <v>1</v>
      </c>
      <c r="E130">
        <f t="shared" si="2"/>
        <v>1</v>
      </c>
      <c r="F130">
        <f t="shared" si="3"/>
        <v>0.6</v>
      </c>
      <c r="G130" s="51">
        <f>(Table57[[#This Row],[Net Zero Commitment]]+Table57[[#This Row],[Scope Coverage]]+Table57[[#This Row],[SBTi Validation]]+Table57[[#This Row],[TPI Alignment]])/4</f>
        <v>0.77500000000000002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  <c r="L130" s="51">
        <f>((Table57[[#This Row],[Decarb CapEx]]+Table57[[#This Row],[Green Bonds ($bn)]]+Table57[[#This Row],[Memberships]]+Table57[[#This Row],[Internal Carbon Price]])/4)</f>
        <v>0</v>
      </c>
      <c r="M130">
        <f t="shared" si="13"/>
        <v>0.26</v>
      </c>
      <c r="N130">
        <f t="shared" si="9"/>
        <v>0</v>
      </c>
      <c r="O130">
        <f t="shared" si="10"/>
        <v>0</v>
      </c>
      <c r="P130">
        <f t="shared" si="11"/>
        <v>0.5</v>
      </c>
      <c r="Q130" s="51">
        <f>((Table57[[#This Row],[Sust. Report Page '# ]]+Table57[[#This Row],[CDP Score]]+Table57[[#This Row],[Climate KPI''s]]+Table57[[#This Row],[Assurance Level]])/4)</f>
        <v>0.19</v>
      </c>
      <c r="R130" s="51">
        <f>((Table57[[#This Row],[E1 Score]]+Table57[[#This Row],[E2 Score]]+Table57[[#This Row],[E3 Score]])/3)</f>
        <v>0.32166666666666671</v>
      </c>
    </row>
    <row r="131" spans="2:18" ht="16" x14ac:dyDescent="0.4">
      <c r="B131" s="2" t="s">
        <v>190</v>
      </c>
      <c r="C131">
        <f t="shared" si="0"/>
        <v>0.75</v>
      </c>
      <c r="D131">
        <f t="shared" si="1"/>
        <v>1</v>
      </c>
      <c r="E131">
        <f t="shared" si="2"/>
        <v>1</v>
      </c>
      <c r="F131">
        <f t="shared" si="3"/>
        <v>0</v>
      </c>
      <c r="G131" s="51">
        <f>(Table57[[#This Row],[Net Zero Commitment]]+Table57[[#This Row],[Scope Coverage]]+Table57[[#This Row],[SBTi Validation]]+Table57[[#This Row],[TPI Alignment]])/4</f>
        <v>0.6875</v>
      </c>
      <c r="H131">
        <f t="shared" si="4"/>
        <v>0</v>
      </c>
      <c r="I131">
        <f t="shared" si="5"/>
        <v>0</v>
      </c>
      <c r="J131">
        <f t="shared" si="6"/>
        <v>1</v>
      </c>
      <c r="K131">
        <f t="shared" si="7"/>
        <v>0</v>
      </c>
      <c r="L131" s="51">
        <f>((Table57[[#This Row],[Decarb CapEx]]+Table57[[#This Row],[Green Bonds ($bn)]]+Table57[[#This Row],[Memberships]]+Table57[[#This Row],[Internal Carbon Price]])/4)</f>
        <v>0.25</v>
      </c>
      <c r="M131">
        <f t="shared" si="13"/>
        <v>0.28000000000000003</v>
      </c>
      <c r="N131">
        <f t="shared" si="9"/>
        <v>0.8</v>
      </c>
      <c r="O131">
        <f t="shared" si="10"/>
        <v>0</v>
      </c>
      <c r="P131">
        <f t="shared" si="11"/>
        <v>0</v>
      </c>
      <c r="Q131" s="51">
        <f>((Table57[[#This Row],[Sust. Report Page '# ]]+Table57[[#This Row],[CDP Score]]+Table57[[#This Row],[Climate KPI''s]]+Table57[[#This Row],[Assurance Level]])/4)</f>
        <v>0.27</v>
      </c>
      <c r="R131" s="51">
        <f>((Table57[[#This Row],[E1 Score]]+Table57[[#This Row],[E2 Score]]+Table57[[#This Row],[E3 Score]])/3)</f>
        <v>0.40250000000000002</v>
      </c>
    </row>
    <row r="132" spans="2:18" ht="16" x14ac:dyDescent="0.4">
      <c r="B132" s="2" t="s">
        <v>24</v>
      </c>
      <c r="C132">
        <f t="shared" si="0"/>
        <v>0.75</v>
      </c>
      <c r="D132">
        <f t="shared" si="1"/>
        <v>1</v>
      </c>
      <c r="E132">
        <f t="shared" si="2"/>
        <v>1</v>
      </c>
      <c r="F132">
        <f t="shared" si="3"/>
        <v>1</v>
      </c>
      <c r="G132" s="51">
        <f>(Table57[[#This Row],[Net Zero Commitment]]+Table57[[#This Row],[Scope Coverage]]+Table57[[#This Row],[SBTi Validation]]+Table57[[#This Row],[TPI Alignment]])/4</f>
        <v>0.9375</v>
      </c>
      <c r="H132">
        <f t="shared" si="4"/>
        <v>1</v>
      </c>
      <c r="I132">
        <f t="shared" si="5"/>
        <v>0</v>
      </c>
      <c r="J132">
        <f t="shared" si="6"/>
        <v>0</v>
      </c>
      <c r="K132">
        <f t="shared" si="7"/>
        <v>1</v>
      </c>
      <c r="L132" s="51">
        <f>((Table57[[#This Row],[Decarb CapEx]]+Table57[[#This Row],[Green Bonds ($bn)]]+Table57[[#This Row],[Memberships]]+Table57[[#This Row],[Internal Carbon Price]])/4)</f>
        <v>0.5</v>
      </c>
      <c r="M132">
        <f t="shared" si="13"/>
        <v>0.46</v>
      </c>
      <c r="N132">
        <f t="shared" si="9"/>
        <v>0.6</v>
      </c>
      <c r="O132">
        <f t="shared" si="10"/>
        <v>1</v>
      </c>
      <c r="P132">
        <f t="shared" si="11"/>
        <v>0.5</v>
      </c>
      <c r="Q132" s="51">
        <f>((Table57[[#This Row],[Sust. Report Page '# ]]+Table57[[#This Row],[CDP Score]]+Table57[[#This Row],[Climate KPI''s]]+Table57[[#This Row],[Assurance Level]])/4)</f>
        <v>0.64</v>
      </c>
      <c r="R132" s="51">
        <f>((Table57[[#This Row],[E1 Score]]+Table57[[#This Row],[E2 Score]]+Table57[[#This Row],[E3 Score]])/3)</f>
        <v>0.6925</v>
      </c>
    </row>
    <row r="133" spans="2:18" ht="16" x14ac:dyDescent="0.4">
      <c r="B133" s="2" t="s">
        <v>201</v>
      </c>
      <c r="C133">
        <f t="shared" si="0"/>
        <v>0.75</v>
      </c>
      <c r="D133">
        <f t="shared" si="1"/>
        <v>1</v>
      </c>
      <c r="E133">
        <f t="shared" si="2"/>
        <v>1</v>
      </c>
      <c r="F133">
        <f t="shared" si="3"/>
        <v>1</v>
      </c>
      <c r="G133" s="51">
        <f>(Table57[[#This Row],[Net Zero Commitment]]+Table57[[#This Row],[Scope Coverage]]+Table57[[#This Row],[SBTi Validation]]+Table57[[#This Row],[TPI Alignment]])/4</f>
        <v>0.9375</v>
      </c>
      <c r="H133">
        <f t="shared" si="4"/>
        <v>1</v>
      </c>
      <c r="I133">
        <f t="shared" si="5"/>
        <v>0</v>
      </c>
      <c r="J133">
        <f t="shared" si="6"/>
        <v>0.75</v>
      </c>
      <c r="K133">
        <f t="shared" si="7"/>
        <v>1</v>
      </c>
      <c r="L133" s="51">
        <f>((Table57[[#This Row],[Decarb CapEx]]+Table57[[#This Row],[Green Bonds ($bn)]]+Table57[[#This Row],[Memberships]]+Table57[[#This Row],[Internal Carbon Price]])/4)</f>
        <v>0.6875</v>
      </c>
      <c r="M133">
        <f t="shared" si="13"/>
        <v>0.14000000000000001</v>
      </c>
      <c r="N133">
        <f t="shared" si="9"/>
        <v>1</v>
      </c>
      <c r="O133">
        <f t="shared" si="10"/>
        <v>1</v>
      </c>
      <c r="P133">
        <f t="shared" si="11"/>
        <v>0.5</v>
      </c>
      <c r="Q133" s="51">
        <f>((Table57[[#This Row],[Sust. Report Page '# ]]+Table57[[#This Row],[CDP Score]]+Table57[[#This Row],[Climate KPI''s]]+Table57[[#This Row],[Assurance Level]])/4)</f>
        <v>0.66</v>
      </c>
      <c r="R133" s="51">
        <f>((Table57[[#This Row],[E1 Score]]+Table57[[#This Row],[E2 Score]]+Table57[[#This Row],[E3 Score]])/3)</f>
        <v>0.76166666666666671</v>
      </c>
    </row>
    <row r="134" spans="2:18" ht="16" x14ac:dyDescent="0.4">
      <c r="B134" s="2" t="s">
        <v>25</v>
      </c>
      <c r="C134">
        <f t="shared" si="0"/>
        <v>0.5</v>
      </c>
      <c r="D134">
        <f t="shared" si="1"/>
        <v>1</v>
      </c>
      <c r="E134">
        <f t="shared" si="2"/>
        <v>1</v>
      </c>
      <c r="F134">
        <f t="shared" si="3"/>
        <v>0.6</v>
      </c>
      <c r="G134" s="51">
        <f>(Table57[[#This Row],[Net Zero Commitment]]+Table57[[#This Row],[Scope Coverage]]+Table57[[#This Row],[SBTi Validation]]+Table57[[#This Row],[TPI Alignment]])/4</f>
        <v>0.77500000000000002</v>
      </c>
      <c r="H134">
        <f t="shared" si="4"/>
        <v>0</v>
      </c>
      <c r="I134">
        <f t="shared" si="5"/>
        <v>1</v>
      </c>
      <c r="J134">
        <f t="shared" si="6"/>
        <v>0</v>
      </c>
      <c r="K134">
        <f t="shared" si="7"/>
        <v>0</v>
      </c>
      <c r="L134" s="51">
        <f>((Table57[[#This Row],[Decarb CapEx]]+Table57[[#This Row],[Green Bonds ($bn)]]+Table57[[#This Row],[Memberships]]+Table57[[#This Row],[Internal Carbon Price]])/4)</f>
        <v>0.25</v>
      </c>
      <c r="M134">
        <f t="shared" si="13"/>
        <v>0.42</v>
      </c>
      <c r="N134">
        <f t="shared" si="9"/>
        <v>0</v>
      </c>
      <c r="O134">
        <f t="shared" si="10"/>
        <v>0</v>
      </c>
      <c r="P134">
        <f t="shared" si="11"/>
        <v>0.5</v>
      </c>
      <c r="Q134" s="51">
        <f>((Table57[[#This Row],[Sust. Report Page '# ]]+Table57[[#This Row],[CDP Score]]+Table57[[#This Row],[Climate KPI''s]]+Table57[[#This Row],[Assurance Level]])/4)</f>
        <v>0.22999999999999998</v>
      </c>
      <c r="R134" s="51">
        <f>((Table57[[#This Row],[E1 Score]]+Table57[[#This Row],[E2 Score]]+Table57[[#This Row],[E3 Score]])/3)</f>
        <v>0.41833333333333328</v>
      </c>
    </row>
    <row r="135" spans="2:18" ht="16" x14ac:dyDescent="0.4">
      <c r="B135" s="2" t="s">
        <v>211</v>
      </c>
      <c r="C135">
        <f t="shared" si="0"/>
        <v>0.5</v>
      </c>
      <c r="D135">
        <f t="shared" si="1"/>
        <v>1</v>
      </c>
      <c r="E135">
        <f t="shared" si="2"/>
        <v>0</v>
      </c>
      <c r="F135">
        <f t="shared" si="3"/>
        <v>0</v>
      </c>
      <c r="G135" s="51">
        <f>(Table57[[#This Row],[Net Zero Commitment]]+Table57[[#This Row],[Scope Coverage]]+Table57[[#This Row],[SBTi Validation]]+Table57[[#This Row],[TPI Alignment]])/4</f>
        <v>0.375</v>
      </c>
      <c r="H135">
        <f t="shared" si="4"/>
        <v>0</v>
      </c>
      <c r="I135">
        <f t="shared" si="5"/>
        <v>0</v>
      </c>
      <c r="J135">
        <f t="shared" si="6"/>
        <v>0</v>
      </c>
      <c r="K135">
        <f t="shared" si="7"/>
        <v>0</v>
      </c>
      <c r="L135" s="51">
        <f>((Table57[[#This Row],[Decarb CapEx]]+Table57[[#This Row],[Green Bonds ($bn)]]+Table57[[#This Row],[Memberships]]+Table57[[#This Row],[Internal Carbon Price]])/4)</f>
        <v>0</v>
      </c>
      <c r="M135">
        <v>0</v>
      </c>
      <c r="N135">
        <f t="shared" si="9"/>
        <v>0.6</v>
      </c>
      <c r="O135">
        <f t="shared" si="10"/>
        <v>0</v>
      </c>
      <c r="P135">
        <f t="shared" si="11"/>
        <v>0.5</v>
      </c>
      <c r="Q135" s="51">
        <f>((Table57[[#This Row],[Sust. Report Page '# ]]+Table57[[#This Row],[CDP Score]]+Table57[[#This Row],[Climate KPI''s]]+Table57[[#This Row],[Assurance Level]])/4)</f>
        <v>0.27500000000000002</v>
      </c>
      <c r="R135" s="51">
        <f>((Table57[[#This Row],[E1 Score]]+Table57[[#This Row],[E2 Score]]+Table57[[#This Row],[E3 Score]])/3)</f>
        <v>0.21666666666666667</v>
      </c>
    </row>
    <row r="136" spans="2:18" ht="16" x14ac:dyDescent="0.4">
      <c r="B136" s="2" t="s">
        <v>217</v>
      </c>
      <c r="C136">
        <f t="shared" si="0"/>
        <v>0.5</v>
      </c>
      <c r="D136">
        <f t="shared" si="1"/>
        <v>1</v>
      </c>
      <c r="E136">
        <f t="shared" si="2"/>
        <v>0</v>
      </c>
      <c r="F136">
        <f t="shared" si="3"/>
        <v>0.6</v>
      </c>
      <c r="G136" s="51">
        <f>(Table57[[#This Row],[Net Zero Commitment]]+Table57[[#This Row],[Scope Coverage]]+Table57[[#This Row],[SBTi Validation]]+Table57[[#This Row],[TPI Alignment]])/4</f>
        <v>0.52500000000000002</v>
      </c>
      <c r="H136">
        <f t="shared" si="4"/>
        <v>0</v>
      </c>
      <c r="I136">
        <f t="shared" si="5"/>
        <v>0</v>
      </c>
      <c r="J136">
        <f t="shared" si="6"/>
        <v>0</v>
      </c>
      <c r="K136">
        <f t="shared" si="7"/>
        <v>1</v>
      </c>
      <c r="L136" s="51">
        <f>((Table57[[#This Row],[Decarb CapEx]]+Table57[[#This Row],[Green Bonds ($bn)]]+Table57[[#This Row],[Memberships]]+Table57[[#This Row],[Internal Carbon Price]])/4)</f>
        <v>0.25</v>
      </c>
      <c r="M136">
        <f t="shared" ref="M136:M143" si="14">M32/100</f>
        <v>0.25</v>
      </c>
      <c r="N136">
        <f t="shared" si="9"/>
        <v>0.8</v>
      </c>
      <c r="O136">
        <f t="shared" si="10"/>
        <v>0</v>
      </c>
      <c r="P136">
        <f t="shared" si="11"/>
        <v>0.5</v>
      </c>
      <c r="Q136" s="51">
        <f>((Table57[[#This Row],[Sust. Report Page '# ]]+Table57[[#This Row],[CDP Score]]+Table57[[#This Row],[Climate KPI''s]]+Table57[[#This Row],[Assurance Level]])/4)</f>
        <v>0.38750000000000001</v>
      </c>
      <c r="R136" s="51">
        <f>((Table57[[#This Row],[E1 Score]]+Table57[[#This Row],[E2 Score]]+Table57[[#This Row],[E3 Score]])/3)</f>
        <v>0.38750000000000001</v>
      </c>
    </row>
    <row r="137" spans="2:18" ht="16" x14ac:dyDescent="0.4">
      <c r="B137" s="2" t="s">
        <v>223</v>
      </c>
      <c r="C137">
        <f t="shared" si="0"/>
        <v>0.5</v>
      </c>
      <c r="D137">
        <f t="shared" si="1"/>
        <v>0.5</v>
      </c>
      <c r="E137">
        <f t="shared" si="2"/>
        <v>1</v>
      </c>
      <c r="F137">
        <f t="shared" si="3"/>
        <v>0.6</v>
      </c>
      <c r="G137" s="51">
        <f>(Table57[[#This Row],[Net Zero Commitment]]+Table57[[#This Row],[Scope Coverage]]+Table57[[#This Row],[SBTi Validation]]+Table57[[#This Row],[TPI Alignment]])/4</f>
        <v>0.65</v>
      </c>
      <c r="H137">
        <f t="shared" si="4"/>
        <v>0</v>
      </c>
      <c r="I137">
        <f t="shared" si="5"/>
        <v>0</v>
      </c>
      <c r="J137">
        <f t="shared" si="6"/>
        <v>0</v>
      </c>
      <c r="K137">
        <f t="shared" si="7"/>
        <v>0</v>
      </c>
      <c r="L137" s="51">
        <f>((Table57[[#This Row],[Decarb CapEx]]+Table57[[#This Row],[Green Bonds ($bn)]]+Table57[[#This Row],[Memberships]]+Table57[[#This Row],[Internal Carbon Price]])/4)</f>
        <v>0</v>
      </c>
      <c r="M137">
        <f t="shared" si="14"/>
        <v>0.41</v>
      </c>
      <c r="N137">
        <f t="shared" si="9"/>
        <v>1</v>
      </c>
      <c r="O137">
        <f t="shared" si="10"/>
        <v>0</v>
      </c>
      <c r="P137">
        <f t="shared" si="11"/>
        <v>0.5</v>
      </c>
      <c r="Q137" s="51">
        <f>((Table57[[#This Row],[Sust. Report Page '# ]]+Table57[[#This Row],[CDP Score]]+Table57[[#This Row],[Climate KPI''s]]+Table57[[#This Row],[Assurance Level]])/4)</f>
        <v>0.47749999999999998</v>
      </c>
      <c r="R137" s="51">
        <f>((Table57[[#This Row],[E1 Score]]+Table57[[#This Row],[E2 Score]]+Table57[[#This Row],[E3 Score]])/3)</f>
        <v>0.3758333333333333</v>
      </c>
    </row>
    <row r="138" spans="2:18" ht="16" x14ac:dyDescent="0.4">
      <c r="B138" s="2" t="s">
        <v>27</v>
      </c>
      <c r="C138">
        <f t="shared" si="0"/>
        <v>0.5</v>
      </c>
      <c r="D138">
        <f t="shared" si="1"/>
        <v>1</v>
      </c>
      <c r="E138">
        <f t="shared" si="2"/>
        <v>1</v>
      </c>
      <c r="F138">
        <f t="shared" si="3"/>
        <v>0.8</v>
      </c>
      <c r="G138" s="51">
        <f>(Table57[[#This Row],[Net Zero Commitment]]+Table57[[#This Row],[Scope Coverage]]+Table57[[#This Row],[SBTi Validation]]+Table57[[#This Row],[TPI Alignment]])/4</f>
        <v>0.82499999999999996</v>
      </c>
      <c r="H138">
        <f t="shared" si="4"/>
        <v>0</v>
      </c>
      <c r="I138">
        <f t="shared" si="5"/>
        <v>0</v>
      </c>
      <c r="J138">
        <f t="shared" si="6"/>
        <v>0.75</v>
      </c>
      <c r="K138">
        <f t="shared" si="7"/>
        <v>0</v>
      </c>
      <c r="L138" s="51">
        <f>((Table57[[#This Row],[Decarb CapEx]]+Table57[[#This Row],[Green Bonds ($bn)]]+Table57[[#This Row],[Memberships]]+Table57[[#This Row],[Internal Carbon Price]])/4)</f>
        <v>0.1875</v>
      </c>
      <c r="M138">
        <f t="shared" si="14"/>
        <v>0.71</v>
      </c>
      <c r="N138">
        <f t="shared" si="9"/>
        <v>0</v>
      </c>
      <c r="O138">
        <f t="shared" si="10"/>
        <v>1</v>
      </c>
      <c r="P138">
        <f t="shared" si="11"/>
        <v>0.5</v>
      </c>
      <c r="Q138" s="51">
        <f>((Table57[[#This Row],[Sust. Report Page '# ]]+Table57[[#This Row],[CDP Score]]+Table57[[#This Row],[Climate KPI''s]]+Table57[[#This Row],[Assurance Level]])/4)</f>
        <v>0.55249999999999999</v>
      </c>
      <c r="R138" s="51">
        <f>((Table57[[#This Row],[E1 Score]]+Table57[[#This Row],[E2 Score]]+Table57[[#This Row],[E3 Score]])/3)</f>
        <v>0.52166666666666661</v>
      </c>
    </row>
    <row r="139" spans="2:18" ht="16" x14ac:dyDescent="0.4">
      <c r="B139" s="2" t="s">
        <v>28</v>
      </c>
      <c r="C139">
        <f t="shared" si="0"/>
        <v>0.5</v>
      </c>
      <c r="D139">
        <f t="shared" si="1"/>
        <v>1</v>
      </c>
      <c r="E139">
        <f t="shared" si="2"/>
        <v>0</v>
      </c>
      <c r="F139">
        <f t="shared" si="3"/>
        <v>0</v>
      </c>
      <c r="G139" s="51">
        <f>(Table57[[#This Row],[Net Zero Commitment]]+Table57[[#This Row],[Scope Coverage]]+Table57[[#This Row],[SBTi Validation]]+Table57[[#This Row],[TPI Alignment]])/4</f>
        <v>0.375</v>
      </c>
      <c r="H139">
        <f t="shared" si="4"/>
        <v>0</v>
      </c>
      <c r="I139">
        <f t="shared" si="5"/>
        <v>0</v>
      </c>
      <c r="J139">
        <f t="shared" si="6"/>
        <v>0</v>
      </c>
      <c r="K139">
        <f t="shared" si="7"/>
        <v>0</v>
      </c>
      <c r="L139" s="51">
        <f>((Table57[[#This Row],[Decarb CapEx]]+Table57[[#This Row],[Green Bonds ($bn)]]+Table57[[#This Row],[Memberships]]+Table57[[#This Row],[Internal Carbon Price]])/4)</f>
        <v>0</v>
      </c>
      <c r="M139">
        <f t="shared" si="14"/>
        <v>0.04</v>
      </c>
      <c r="N139">
        <f t="shared" si="9"/>
        <v>0.4</v>
      </c>
      <c r="O139">
        <f t="shared" si="10"/>
        <v>0</v>
      </c>
      <c r="P139">
        <f t="shared" si="11"/>
        <v>0</v>
      </c>
      <c r="Q139" s="51">
        <f>((Table57[[#This Row],[Sust. Report Page '# ]]+Table57[[#This Row],[CDP Score]]+Table57[[#This Row],[Climate KPI''s]]+Table57[[#This Row],[Assurance Level]])/4)</f>
        <v>0.11</v>
      </c>
      <c r="R139" s="51">
        <f>((Table57[[#This Row],[E1 Score]]+Table57[[#This Row],[E2 Score]]+Table57[[#This Row],[E3 Score]])/3)</f>
        <v>0.16166666666666665</v>
      </c>
    </row>
    <row r="140" spans="2:18" ht="16" x14ac:dyDescent="0.4">
      <c r="B140" s="2" t="s">
        <v>236</v>
      </c>
      <c r="C140">
        <f t="shared" si="0"/>
        <v>0.5</v>
      </c>
      <c r="D140">
        <f t="shared" si="1"/>
        <v>0.5</v>
      </c>
      <c r="E140">
        <f t="shared" si="2"/>
        <v>0</v>
      </c>
      <c r="F140">
        <f t="shared" si="3"/>
        <v>0.6</v>
      </c>
      <c r="G140" s="51">
        <f>(Table57[[#This Row],[Net Zero Commitment]]+Table57[[#This Row],[Scope Coverage]]+Table57[[#This Row],[SBTi Validation]]+Table57[[#This Row],[TPI Alignment]])/4</f>
        <v>0.4</v>
      </c>
      <c r="H140">
        <f t="shared" si="4"/>
        <v>0</v>
      </c>
      <c r="I140">
        <f t="shared" si="5"/>
        <v>0</v>
      </c>
      <c r="J140">
        <f t="shared" si="6"/>
        <v>0</v>
      </c>
      <c r="K140">
        <f t="shared" si="7"/>
        <v>1</v>
      </c>
      <c r="L140" s="51">
        <f>((Table57[[#This Row],[Decarb CapEx]]+Table57[[#This Row],[Green Bonds ($bn)]]+Table57[[#This Row],[Memberships]]+Table57[[#This Row],[Internal Carbon Price]])/4)</f>
        <v>0.25</v>
      </c>
      <c r="M140">
        <f t="shared" si="14"/>
        <v>0.98</v>
      </c>
      <c r="N140">
        <f t="shared" si="9"/>
        <v>0.6</v>
      </c>
      <c r="O140">
        <f t="shared" si="10"/>
        <v>0</v>
      </c>
      <c r="P140">
        <f t="shared" si="11"/>
        <v>0.5</v>
      </c>
      <c r="Q140" s="51">
        <f>((Table57[[#This Row],[Sust. Report Page '# ]]+Table57[[#This Row],[CDP Score]]+Table57[[#This Row],[Climate KPI''s]]+Table57[[#This Row],[Assurance Level]])/4)</f>
        <v>0.52</v>
      </c>
      <c r="R140" s="51">
        <f>((Table57[[#This Row],[E1 Score]]+Table57[[#This Row],[E2 Score]]+Table57[[#This Row],[E3 Score]])/3)</f>
        <v>0.38999999999999996</v>
      </c>
    </row>
    <row r="141" spans="2:18" ht="16" x14ac:dyDescent="0.4">
      <c r="B141" s="2" t="s">
        <v>29</v>
      </c>
      <c r="C141">
        <f t="shared" ref="C141:C172" si="15">IF(C37="",0,IF(C37&lt;=2030,1,IF(C37&lt;=2040,0.75,IF(C37&lt;="2050",0.5,0.2))))</f>
        <v>0.75</v>
      </c>
      <c r="D141">
        <f t="shared" ref="D141:D172" si="16">IF(D37="1+2+3",1,IF(D37="1+2",0.5,IF(D37="1",0.25,IF(D37="Unclear",0))))</f>
        <v>1</v>
      </c>
      <c r="E141">
        <f t="shared" ref="E141:E172" si="17">IF(E37="",0,IF(E37="No",0,IF(E37="Yes",1)))</f>
        <v>0</v>
      </c>
      <c r="F141">
        <f t="shared" ref="F141:F172" si="18">IF(F37=5,1,IF(F37=4,0.8,IF(F37=3,0.6,IF(F37=2,0.4,IF(F37=1,0.2,IF(F37=0,0,IF(F37="N/A",0)))))))</f>
        <v>0</v>
      </c>
      <c r="G141" s="51">
        <f>(Table57[[#This Row],[Net Zero Commitment]]+Table57[[#This Row],[Scope Coverage]]+Table57[[#This Row],[SBTi Validation]]+Table57[[#This Row],[TPI Alignment]])/4</f>
        <v>0.4375</v>
      </c>
      <c r="H141">
        <f t="shared" ref="H141:H172" si="19">IF(H37="",0,IF(H37="None",0,IF(H37="A",0.5,IF(H37="B",0.75,IF(H37="C",1)))))</f>
        <v>0</v>
      </c>
      <c r="I141">
        <f t="shared" ref="I141:I172" si="20">IF(I37="",0,IF(I37="N/A",0,IF(I37&gt;=1,1,IF(I37&gt;=0.75,0.75,IF(I37&gt;=0.5,0.5,IF(I37&gt;=0.25,0.25,IF(I37&gt;0,0.25,0)))))))</f>
        <v>0</v>
      </c>
      <c r="J141">
        <f t="shared" ref="J141:J172" si="21">IF(J37="",0,IF(J37="No",0,IF(J37="Yes",0.75,IF(J37="Gold",1))))</f>
        <v>0</v>
      </c>
      <c r="K141">
        <f t="shared" ref="K141:K172" si="22">IF(K37="",0,IF(K37="No",0,IF(K37="Yes",1)))</f>
        <v>0</v>
      </c>
      <c r="L141" s="51">
        <f>((Table57[[#This Row],[Decarb CapEx]]+Table57[[#This Row],[Green Bonds ($bn)]]+Table57[[#This Row],[Memberships]]+Table57[[#This Row],[Internal Carbon Price]])/4)</f>
        <v>0</v>
      </c>
      <c r="M141">
        <f t="shared" si="14"/>
        <v>0.42</v>
      </c>
      <c r="N141">
        <f t="shared" ref="N141:N172" si="23">IF(N37="",0,IF(N37="A",1,IF(N37="A-",0.8,IF(N37="B",0.6,IF(N37="C",0.4,IF(N37="D",0.2,IF(N37="F",0,IF(N37="N/A",0))))))))</f>
        <v>0.6</v>
      </c>
      <c r="O141">
        <f t="shared" ref="O141:O172" si="24">IF(O37="",0,IF(O37="N/A",0,IF(O37="No",0,IF(O37="Yes",1))))</f>
        <v>0</v>
      </c>
      <c r="P141">
        <f t="shared" ref="P141:P172" si="25">IF(P37="",0,IF(P37="Reasonable",1,IF(P37="Limited",0.5,IF(P37="None",0))))</f>
        <v>0.5</v>
      </c>
      <c r="Q141" s="51">
        <f>((Table57[[#This Row],[Sust. Report Page '# ]]+Table57[[#This Row],[CDP Score]]+Table57[[#This Row],[Climate KPI''s]]+Table57[[#This Row],[Assurance Level]])/4)</f>
        <v>0.38</v>
      </c>
      <c r="R141" s="51">
        <f>((Table57[[#This Row],[E1 Score]]+Table57[[#This Row],[E2 Score]]+Table57[[#This Row],[E3 Score]])/3)</f>
        <v>0.27250000000000002</v>
      </c>
    </row>
    <row r="142" spans="2:18" ht="16" x14ac:dyDescent="0.4">
      <c r="B142" s="2" t="s">
        <v>694</v>
      </c>
      <c r="C142">
        <f t="shared" si="15"/>
        <v>0.5</v>
      </c>
      <c r="D142">
        <f t="shared" si="16"/>
        <v>1</v>
      </c>
      <c r="E142">
        <f t="shared" si="17"/>
        <v>0</v>
      </c>
      <c r="F142">
        <f t="shared" si="18"/>
        <v>1</v>
      </c>
      <c r="G142" s="51">
        <f>(Table57[[#This Row],[Net Zero Commitment]]+Table57[[#This Row],[Scope Coverage]]+Table57[[#This Row],[SBTi Validation]]+Table57[[#This Row],[TPI Alignment]])/4</f>
        <v>0.625</v>
      </c>
      <c r="H142">
        <f t="shared" si="19"/>
        <v>1</v>
      </c>
      <c r="I142">
        <f t="shared" si="20"/>
        <v>0</v>
      </c>
      <c r="J142">
        <f t="shared" si="21"/>
        <v>0</v>
      </c>
      <c r="K142">
        <f t="shared" si="22"/>
        <v>1</v>
      </c>
      <c r="L142" s="51">
        <f>((Table57[[#This Row],[Decarb CapEx]]+Table57[[#This Row],[Green Bonds ($bn)]]+Table57[[#This Row],[Memberships]]+Table57[[#This Row],[Internal Carbon Price]])/4)</f>
        <v>0.5</v>
      </c>
      <c r="M142">
        <f t="shared" si="14"/>
        <v>0.05</v>
      </c>
      <c r="N142">
        <f t="shared" si="23"/>
        <v>0</v>
      </c>
      <c r="O142">
        <f t="shared" si="24"/>
        <v>1</v>
      </c>
      <c r="P142">
        <f t="shared" si="25"/>
        <v>1</v>
      </c>
      <c r="Q142" s="51">
        <f>((Table57[[#This Row],[Sust. Report Page '# ]]+Table57[[#This Row],[CDP Score]]+Table57[[#This Row],[Climate KPI''s]]+Table57[[#This Row],[Assurance Level]])/4)</f>
        <v>0.51249999999999996</v>
      </c>
      <c r="R142" s="51">
        <f>((Table57[[#This Row],[E1 Score]]+Table57[[#This Row],[E2 Score]]+Table57[[#This Row],[E3 Score]])/3)</f>
        <v>0.54583333333333328</v>
      </c>
    </row>
    <row r="143" spans="2:18" ht="16" x14ac:dyDescent="0.4">
      <c r="B143" s="2" t="s">
        <v>30</v>
      </c>
      <c r="C143">
        <f t="shared" si="15"/>
        <v>0.5</v>
      </c>
      <c r="D143">
        <f t="shared" si="16"/>
        <v>0</v>
      </c>
      <c r="E143">
        <f t="shared" si="17"/>
        <v>1</v>
      </c>
      <c r="F143">
        <f t="shared" si="18"/>
        <v>0</v>
      </c>
      <c r="G143" s="51">
        <f>(Table57[[#This Row],[Net Zero Commitment]]+Table57[[#This Row],[Scope Coverage]]+Table57[[#This Row],[SBTi Validation]]+Table57[[#This Row],[TPI Alignment]])/4</f>
        <v>0.375</v>
      </c>
      <c r="H143">
        <f t="shared" si="19"/>
        <v>0</v>
      </c>
      <c r="I143">
        <f t="shared" si="20"/>
        <v>0</v>
      </c>
      <c r="J143">
        <f t="shared" si="21"/>
        <v>0</v>
      </c>
      <c r="K143">
        <f t="shared" si="22"/>
        <v>0</v>
      </c>
      <c r="L143" s="51">
        <f>((Table57[[#This Row],[Decarb CapEx]]+Table57[[#This Row],[Green Bonds ($bn)]]+Table57[[#This Row],[Memberships]]+Table57[[#This Row],[Internal Carbon Price]])/4)</f>
        <v>0</v>
      </c>
      <c r="M143">
        <f t="shared" si="14"/>
        <v>0.28000000000000003</v>
      </c>
      <c r="N143">
        <f t="shared" si="23"/>
        <v>0.8</v>
      </c>
      <c r="O143">
        <f t="shared" si="24"/>
        <v>0</v>
      </c>
      <c r="P143">
        <f t="shared" si="25"/>
        <v>0.5</v>
      </c>
      <c r="Q143" s="51">
        <f>((Table57[[#This Row],[Sust. Report Page '# ]]+Table57[[#This Row],[CDP Score]]+Table57[[#This Row],[Climate KPI''s]]+Table57[[#This Row],[Assurance Level]])/4)</f>
        <v>0.39500000000000002</v>
      </c>
      <c r="R143" s="51">
        <f>((Table57[[#This Row],[E1 Score]]+Table57[[#This Row],[E2 Score]]+Table57[[#This Row],[E3 Score]])/3)</f>
        <v>0.25666666666666665</v>
      </c>
    </row>
    <row r="144" spans="2:18" ht="16" x14ac:dyDescent="0.4">
      <c r="B144" s="2" t="s">
        <v>31</v>
      </c>
      <c r="C144">
        <f t="shared" si="15"/>
        <v>0.5</v>
      </c>
      <c r="D144">
        <f t="shared" si="16"/>
        <v>0</v>
      </c>
      <c r="E144">
        <f t="shared" si="17"/>
        <v>0</v>
      </c>
      <c r="F144">
        <f t="shared" si="18"/>
        <v>0</v>
      </c>
      <c r="G144" s="51">
        <f>(Table57[[#This Row],[Net Zero Commitment]]+Table57[[#This Row],[Scope Coverage]]+Table57[[#This Row],[SBTi Validation]]+Table57[[#This Row],[TPI Alignment]])/4</f>
        <v>0.125</v>
      </c>
      <c r="H144">
        <f t="shared" si="19"/>
        <v>0</v>
      </c>
      <c r="I144">
        <f t="shared" si="20"/>
        <v>0</v>
      </c>
      <c r="J144">
        <f t="shared" si="21"/>
        <v>0</v>
      </c>
      <c r="K144">
        <f t="shared" si="22"/>
        <v>0</v>
      </c>
      <c r="L144" s="51">
        <f>((Table57[[#This Row],[Decarb CapEx]]+Table57[[#This Row],[Green Bonds ($bn)]]+Table57[[#This Row],[Memberships]]+Table57[[#This Row],[Internal Carbon Price]])/4)</f>
        <v>0</v>
      </c>
      <c r="M144">
        <v>0</v>
      </c>
      <c r="N144">
        <f t="shared" si="23"/>
        <v>0</v>
      </c>
      <c r="O144">
        <f t="shared" si="24"/>
        <v>0</v>
      </c>
      <c r="P144">
        <f t="shared" si="25"/>
        <v>0</v>
      </c>
      <c r="Q144" s="51">
        <f>((Table57[[#This Row],[Sust. Report Page '# ]]+Table57[[#This Row],[CDP Score]]+Table57[[#This Row],[Climate KPI''s]]+Table57[[#This Row],[Assurance Level]])/4)</f>
        <v>0</v>
      </c>
      <c r="R144" s="51">
        <f>((Table57[[#This Row],[E1 Score]]+Table57[[#This Row],[E2 Score]]+Table57[[#This Row],[E3 Score]])/3)</f>
        <v>4.1666666666666664E-2</v>
      </c>
    </row>
    <row r="145" spans="2:18" ht="16" x14ac:dyDescent="0.4">
      <c r="B145" s="2" t="s">
        <v>32</v>
      </c>
      <c r="C145">
        <f t="shared" si="15"/>
        <v>1</v>
      </c>
      <c r="D145">
        <f t="shared" si="16"/>
        <v>0</v>
      </c>
      <c r="E145">
        <f t="shared" si="17"/>
        <v>0</v>
      </c>
      <c r="F145">
        <f t="shared" si="18"/>
        <v>0</v>
      </c>
      <c r="G145" s="51">
        <f>(Table57[[#This Row],[Net Zero Commitment]]+Table57[[#This Row],[Scope Coverage]]+Table57[[#This Row],[SBTi Validation]]+Table57[[#This Row],[TPI Alignment]])/4</f>
        <v>0.25</v>
      </c>
      <c r="H145">
        <f t="shared" si="19"/>
        <v>0</v>
      </c>
      <c r="I145">
        <f t="shared" si="20"/>
        <v>0</v>
      </c>
      <c r="J145">
        <f t="shared" si="21"/>
        <v>0</v>
      </c>
      <c r="K145">
        <f t="shared" si="22"/>
        <v>0</v>
      </c>
      <c r="L145" s="51">
        <f>((Table57[[#This Row],[Decarb CapEx]]+Table57[[#This Row],[Green Bonds ($bn)]]+Table57[[#This Row],[Memberships]]+Table57[[#This Row],[Internal Carbon Price]])/4)</f>
        <v>0</v>
      </c>
      <c r="M145">
        <f t="shared" ref="M145:M176" si="26">M41/100</f>
        <v>0.02</v>
      </c>
      <c r="N145">
        <f t="shared" si="23"/>
        <v>0.4</v>
      </c>
      <c r="O145">
        <f t="shared" si="24"/>
        <v>0</v>
      </c>
      <c r="P145">
        <f t="shared" si="25"/>
        <v>0.5</v>
      </c>
      <c r="Q145" s="51">
        <f>((Table57[[#This Row],[Sust. Report Page '# ]]+Table57[[#This Row],[CDP Score]]+Table57[[#This Row],[Climate KPI''s]]+Table57[[#This Row],[Assurance Level]])/4)</f>
        <v>0.23</v>
      </c>
      <c r="R145" s="51">
        <f>((Table57[[#This Row],[E1 Score]]+Table57[[#This Row],[E2 Score]]+Table57[[#This Row],[E3 Score]])/3)</f>
        <v>0.16</v>
      </c>
    </row>
    <row r="146" spans="2:18" ht="16" x14ac:dyDescent="0.4">
      <c r="B146" s="2" t="s">
        <v>33</v>
      </c>
      <c r="C146">
        <f t="shared" si="15"/>
        <v>0.5</v>
      </c>
      <c r="D146">
        <f t="shared" si="16"/>
        <v>0</v>
      </c>
      <c r="E146">
        <f t="shared" si="17"/>
        <v>0</v>
      </c>
      <c r="F146">
        <f t="shared" si="18"/>
        <v>0</v>
      </c>
      <c r="G146" s="51">
        <f>(Table57[[#This Row],[Net Zero Commitment]]+Table57[[#This Row],[Scope Coverage]]+Table57[[#This Row],[SBTi Validation]]+Table57[[#This Row],[TPI Alignment]])/4</f>
        <v>0.125</v>
      </c>
      <c r="H146">
        <f t="shared" si="19"/>
        <v>0</v>
      </c>
      <c r="I146">
        <f t="shared" si="20"/>
        <v>0</v>
      </c>
      <c r="J146">
        <f t="shared" si="21"/>
        <v>0</v>
      </c>
      <c r="K146">
        <f t="shared" si="22"/>
        <v>0</v>
      </c>
      <c r="L146" s="51">
        <f>((Table57[[#This Row],[Decarb CapEx]]+Table57[[#This Row],[Green Bonds ($bn)]]+Table57[[#This Row],[Memberships]]+Table57[[#This Row],[Internal Carbon Price]])/4)</f>
        <v>0</v>
      </c>
      <c r="M146">
        <f t="shared" si="26"/>
        <v>0.01</v>
      </c>
      <c r="N146">
        <f t="shared" si="23"/>
        <v>0</v>
      </c>
      <c r="O146">
        <f t="shared" si="24"/>
        <v>0</v>
      </c>
      <c r="P146">
        <f t="shared" si="25"/>
        <v>0</v>
      </c>
      <c r="Q146" s="51">
        <f>((Table57[[#This Row],[Sust. Report Page '# ]]+Table57[[#This Row],[CDP Score]]+Table57[[#This Row],[Climate KPI''s]]+Table57[[#This Row],[Assurance Level]])/4)</f>
        <v>2.5000000000000001E-3</v>
      </c>
      <c r="R146" s="51">
        <f>((Table57[[#This Row],[E1 Score]]+Table57[[#This Row],[E2 Score]]+Table57[[#This Row],[E3 Score]])/3)</f>
        <v>4.2500000000000003E-2</v>
      </c>
    </row>
    <row r="147" spans="2:18" ht="16" x14ac:dyDescent="0.4">
      <c r="B147" s="2" t="s">
        <v>34</v>
      </c>
      <c r="C147">
        <f t="shared" si="15"/>
        <v>0.5</v>
      </c>
      <c r="D147">
        <f t="shared" si="16"/>
        <v>1</v>
      </c>
      <c r="E147">
        <f t="shared" si="17"/>
        <v>0</v>
      </c>
      <c r="F147">
        <f t="shared" si="18"/>
        <v>0.8</v>
      </c>
      <c r="G147" s="51">
        <f>(Table57[[#This Row],[Net Zero Commitment]]+Table57[[#This Row],[Scope Coverage]]+Table57[[#This Row],[SBTi Validation]]+Table57[[#This Row],[TPI Alignment]])/4</f>
        <v>0.57499999999999996</v>
      </c>
      <c r="H147">
        <f t="shared" si="19"/>
        <v>0.75</v>
      </c>
      <c r="I147">
        <f t="shared" si="20"/>
        <v>0</v>
      </c>
      <c r="J147">
        <f t="shared" si="21"/>
        <v>0</v>
      </c>
      <c r="K147">
        <f t="shared" si="22"/>
        <v>0</v>
      </c>
      <c r="L147" s="51">
        <f>((Table57[[#This Row],[Decarb CapEx]]+Table57[[#This Row],[Green Bonds ($bn)]]+Table57[[#This Row],[Memberships]]+Table57[[#This Row],[Internal Carbon Price]])/4)</f>
        <v>0.1875</v>
      </c>
      <c r="M147">
        <f t="shared" si="26"/>
        <v>0.7</v>
      </c>
      <c r="N147">
        <f t="shared" si="23"/>
        <v>0</v>
      </c>
      <c r="O147">
        <f t="shared" si="24"/>
        <v>1</v>
      </c>
      <c r="P147">
        <f t="shared" si="25"/>
        <v>0.5</v>
      </c>
      <c r="Q147" s="51">
        <f>((Table57[[#This Row],[Sust. Report Page '# ]]+Table57[[#This Row],[CDP Score]]+Table57[[#This Row],[Climate KPI''s]]+Table57[[#This Row],[Assurance Level]])/4)</f>
        <v>0.55000000000000004</v>
      </c>
      <c r="R147" s="51">
        <f>((Table57[[#This Row],[E1 Score]]+Table57[[#This Row],[E2 Score]]+Table57[[#This Row],[E3 Score]])/3)</f>
        <v>0.4375</v>
      </c>
    </row>
    <row r="148" spans="2:18" ht="16" x14ac:dyDescent="0.4">
      <c r="B148" s="2" t="s">
        <v>269</v>
      </c>
      <c r="C148">
        <f t="shared" si="15"/>
        <v>0.5</v>
      </c>
      <c r="D148">
        <f t="shared" si="16"/>
        <v>1</v>
      </c>
      <c r="E148">
        <f t="shared" si="17"/>
        <v>0</v>
      </c>
      <c r="F148">
        <f t="shared" si="18"/>
        <v>1</v>
      </c>
      <c r="G148" s="51">
        <f>(Table57[[#This Row],[Net Zero Commitment]]+Table57[[#This Row],[Scope Coverage]]+Table57[[#This Row],[SBTi Validation]]+Table57[[#This Row],[TPI Alignment]])/4</f>
        <v>0.625</v>
      </c>
      <c r="H148">
        <f t="shared" si="19"/>
        <v>1</v>
      </c>
      <c r="I148">
        <f t="shared" si="20"/>
        <v>0</v>
      </c>
      <c r="J148">
        <f t="shared" si="21"/>
        <v>0</v>
      </c>
      <c r="K148">
        <f t="shared" si="22"/>
        <v>1</v>
      </c>
      <c r="L148" s="51">
        <f>((Table57[[#This Row],[Decarb CapEx]]+Table57[[#This Row],[Green Bonds ($bn)]]+Table57[[#This Row],[Memberships]]+Table57[[#This Row],[Internal Carbon Price]])/4)</f>
        <v>0.5</v>
      </c>
      <c r="M148">
        <f t="shared" si="26"/>
        <v>0.54</v>
      </c>
      <c r="N148">
        <f t="shared" si="23"/>
        <v>1</v>
      </c>
      <c r="O148">
        <f t="shared" si="24"/>
        <v>1</v>
      </c>
      <c r="P148">
        <f t="shared" si="25"/>
        <v>0.5</v>
      </c>
      <c r="Q148" s="51">
        <f>((Table57[[#This Row],[Sust. Report Page '# ]]+Table57[[#This Row],[CDP Score]]+Table57[[#This Row],[Climate KPI''s]]+Table57[[#This Row],[Assurance Level]])/4)</f>
        <v>0.76</v>
      </c>
      <c r="R148" s="51">
        <f>((Table57[[#This Row],[E1 Score]]+Table57[[#This Row],[E2 Score]]+Table57[[#This Row],[E3 Score]])/3)</f>
        <v>0.6283333333333333</v>
      </c>
    </row>
    <row r="149" spans="2:18" ht="16" x14ac:dyDescent="0.4">
      <c r="B149" s="2" t="s">
        <v>35</v>
      </c>
      <c r="C149">
        <f t="shared" si="15"/>
        <v>0.75</v>
      </c>
      <c r="D149">
        <f t="shared" si="16"/>
        <v>1</v>
      </c>
      <c r="E149">
        <f t="shared" si="17"/>
        <v>0</v>
      </c>
      <c r="F149">
        <f t="shared" si="18"/>
        <v>0.6</v>
      </c>
      <c r="G149" s="51">
        <f>(Table57[[#This Row],[Net Zero Commitment]]+Table57[[#This Row],[Scope Coverage]]+Table57[[#This Row],[SBTi Validation]]+Table57[[#This Row],[TPI Alignment]])/4</f>
        <v>0.58750000000000002</v>
      </c>
      <c r="H149">
        <f t="shared" si="19"/>
        <v>0.75</v>
      </c>
      <c r="I149">
        <f t="shared" si="20"/>
        <v>0</v>
      </c>
      <c r="J149">
        <f t="shared" si="21"/>
        <v>0</v>
      </c>
      <c r="K149">
        <f t="shared" si="22"/>
        <v>1</v>
      </c>
      <c r="L149" s="51">
        <f>((Table57[[#This Row],[Decarb CapEx]]+Table57[[#This Row],[Green Bonds ($bn)]]+Table57[[#This Row],[Memberships]]+Table57[[#This Row],[Internal Carbon Price]])/4)</f>
        <v>0.4375</v>
      </c>
      <c r="M149">
        <f t="shared" si="26"/>
        <v>0.76</v>
      </c>
      <c r="N149">
        <f t="shared" si="23"/>
        <v>0.6</v>
      </c>
      <c r="O149">
        <f t="shared" si="24"/>
        <v>1</v>
      </c>
      <c r="P149">
        <f t="shared" si="25"/>
        <v>0.5</v>
      </c>
      <c r="Q149" s="51">
        <f>((Table57[[#This Row],[Sust. Report Page '# ]]+Table57[[#This Row],[CDP Score]]+Table57[[#This Row],[Climate KPI''s]]+Table57[[#This Row],[Assurance Level]])/4)</f>
        <v>0.71499999999999997</v>
      </c>
      <c r="R149" s="51">
        <f>((Table57[[#This Row],[E1 Score]]+Table57[[#This Row],[E2 Score]]+Table57[[#This Row],[E3 Score]])/3)</f>
        <v>0.57999999999999996</v>
      </c>
    </row>
    <row r="150" spans="2:18" ht="16" x14ac:dyDescent="0.4">
      <c r="B150" s="2" t="s">
        <v>36</v>
      </c>
      <c r="C150">
        <f t="shared" si="15"/>
        <v>0.75</v>
      </c>
      <c r="D150">
        <f t="shared" si="16"/>
        <v>1</v>
      </c>
      <c r="E150">
        <f t="shared" si="17"/>
        <v>0</v>
      </c>
      <c r="F150">
        <f t="shared" si="18"/>
        <v>0</v>
      </c>
      <c r="G150" s="51">
        <f>(Table57[[#This Row],[Net Zero Commitment]]+Table57[[#This Row],[Scope Coverage]]+Table57[[#This Row],[SBTi Validation]]+Table57[[#This Row],[TPI Alignment]])/4</f>
        <v>0.4375</v>
      </c>
      <c r="H150">
        <f t="shared" si="19"/>
        <v>0</v>
      </c>
      <c r="I150">
        <f t="shared" si="20"/>
        <v>0</v>
      </c>
      <c r="J150">
        <f t="shared" si="21"/>
        <v>0</v>
      </c>
      <c r="K150">
        <f t="shared" si="22"/>
        <v>0</v>
      </c>
      <c r="L150" s="51">
        <f>((Table57[[#This Row],[Decarb CapEx]]+Table57[[#This Row],[Green Bonds ($bn)]]+Table57[[#This Row],[Memberships]]+Table57[[#This Row],[Internal Carbon Price]])/4)</f>
        <v>0</v>
      </c>
      <c r="M150">
        <f t="shared" si="26"/>
        <v>0.33</v>
      </c>
      <c r="N150">
        <f t="shared" si="23"/>
        <v>0.6</v>
      </c>
      <c r="O150">
        <f t="shared" si="24"/>
        <v>0</v>
      </c>
      <c r="P150">
        <f t="shared" si="25"/>
        <v>0.5</v>
      </c>
      <c r="Q150" s="51">
        <f>((Table57[[#This Row],[Sust. Report Page '# ]]+Table57[[#This Row],[CDP Score]]+Table57[[#This Row],[Climate KPI''s]]+Table57[[#This Row],[Assurance Level]])/4)</f>
        <v>0.35749999999999998</v>
      </c>
      <c r="R150" s="51">
        <f>((Table57[[#This Row],[E1 Score]]+Table57[[#This Row],[E2 Score]]+Table57[[#This Row],[E3 Score]])/3)</f>
        <v>0.26499999999999996</v>
      </c>
    </row>
    <row r="151" spans="2:18" ht="16" x14ac:dyDescent="0.4">
      <c r="B151" s="2" t="s">
        <v>282</v>
      </c>
      <c r="C151">
        <f t="shared" si="15"/>
        <v>0.5</v>
      </c>
      <c r="D151">
        <f t="shared" si="16"/>
        <v>1</v>
      </c>
      <c r="E151">
        <f t="shared" si="17"/>
        <v>0</v>
      </c>
      <c r="F151">
        <f t="shared" si="18"/>
        <v>0</v>
      </c>
      <c r="G151" s="51">
        <f>(Table57[[#This Row],[Net Zero Commitment]]+Table57[[#This Row],[Scope Coverage]]+Table57[[#This Row],[SBTi Validation]]+Table57[[#This Row],[TPI Alignment]])/4</f>
        <v>0.375</v>
      </c>
      <c r="H151">
        <f t="shared" si="19"/>
        <v>0</v>
      </c>
      <c r="I151">
        <f t="shared" si="20"/>
        <v>0</v>
      </c>
      <c r="J151">
        <f t="shared" si="21"/>
        <v>0</v>
      </c>
      <c r="K151">
        <f t="shared" si="22"/>
        <v>0</v>
      </c>
      <c r="L151" s="51">
        <f>((Table57[[#This Row],[Decarb CapEx]]+Table57[[#This Row],[Green Bonds ($bn)]]+Table57[[#This Row],[Memberships]]+Table57[[#This Row],[Internal Carbon Price]])/4)</f>
        <v>0</v>
      </c>
      <c r="M151">
        <f t="shared" si="26"/>
        <v>0.01</v>
      </c>
      <c r="N151">
        <f t="shared" si="23"/>
        <v>0</v>
      </c>
      <c r="O151">
        <f t="shared" si="24"/>
        <v>0</v>
      </c>
      <c r="P151">
        <f t="shared" si="25"/>
        <v>0</v>
      </c>
      <c r="Q151" s="51">
        <f>((Table57[[#This Row],[Sust. Report Page '# ]]+Table57[[#This Row],[CDP Score]]+Table57[[#This Row],[Climate KPI''s]]+Table57[[#This Row],[Assurance Level]])/4)</f>
        <v>2.5000000000000001E-3</v>
      </c>
      <c r="R151" s="51">
        <f>((Table57[[#This Row],[E1 Score]]+Table57[[#This Row],[E2 Score]]+Table57[[#This Row],[E3 Score]])/3)</f>
        <v>0.12583333333333332</v>
      </c>
    </row>
    <row r="152" spans="2:18" ht="16" x14ac:dyDescent="0.4">
      <c r="B152" s="2" t="s">
        <v>287</v>
      </c>
      <c r="C152">
        <f t="shared" si="15"/>
        <v>1</v>
      </c>
      <c r="D152">
        <f t="shared" si="16"/>
        <v>0</v>
      </c>
      <c r="E152">
        <f t="shared" si="17"/>
        <v>0</v>
      </c>
      <c r="F152">
        <f t="shared" si="18"/>
        <v>0</v>
      </c>
      <c r="G152" s="51">
        <f>(Table57[[#This Row],[Net Zero Commitment]]+Table57[[#This Row],[Scope Coverage]]+Table57[[#This Row],[SBTi Validation]]+Table57[[#This Row],[TPI Alignment]])/4</f>
        <v>0.25</v>
      </c>
      <c r="H152">
        <f t="shared" si="19"/>
        <v>0</v>
      </c>
      <c r="I152">
        <f t="shared" si="20"/>
        <v>0</v>
      </c>
      <c r="J152">
        <f t="shared" si="21"/>
        <v>0</v>
      </c>
      <c r="K152">
        <f t="shared" si="22"/>
        <v>0</v>
      </c>
      <c r="L152" s="51">
        <f>((Table57[[#This Row],[Decarb CapEx]]+Table57[[#This Row],[Green Bonds ($bn)]]+Table57[[#This Row],[Memberships]]+Table57[[#This Row],[Internal Carbon Price]])/4)</f>
        <v>0</v>
      </c>
      <c r="M152">
        <f t="shared" si="26"/>
        <v>0.53</v>
      </c>
      <c r="N152">
        <f t="shared" si="23"/>
        <v>0.6</v>
      </c>
      <c r="O152">
        <f t="shared" si="24"/>
        <v>0</v>
      </c>
      <c r="P152">
        <f t="shared" si="25"/>
        <v>0.5</v>
      </c>
      <c r="Q152" s="51">
        <f>((Table57[[#This Row],[Sust. Report Page '# ]]+Table57[[#This Row],[CDP Score]]+Table57[[#This Row],[Climate KPI''s]]+Table57[[#This Row],[Assurance Level]])/4)</f>
        <v>0.40749999999999997</v>
      </c>
      <c r="R152" s="51">
        <f>((Table57[[#This Row],[E1 Score]]+Table57[[#This Row],[E2 Score]]+Table57[[#This Row],[E3 Score]])/3)</f>
        <v>0.21916666666666665</v>
      </c>
    </row>
    <row r="153" spans="2:18" ht="16" x14ac:dyDescent="0.4">
      <c r="B153" s="2" t="s">
        <v>37</v>
      </c>
      <c r="C153">
        <f t="shared" si="15"/>
        <v>0.5</v>
      </c>
      <c r="D153">
        <f t="shared" si="16"/>
        <v>0</v>
      </c>
      <c r="E153">
        <f t="shared" si="17"/>
        <v>0</v>
      </c>
      <c r="F153">
        <f t="shared" si="18"/>
        <v>0</v>
      </c>
      <c r="G153" s="51">
        <f>(Table57[[#This Row],[Net Zero Commitment]]+Table57[[#This Row],[Scope Coverage]]+Table57[[#This Row],[SBTi Validation]]+Table57[[#This Row],[TPI Alignment]])/4</f>
        <v>0.125</v>
      </c>
      <c r="H153">
        <f t="shared" si="19"/>
        <v>0</v>
      </c>
      <c r="I153">
        <f t="shared" si="20"/>
        <v>0</v>
      </c>
      <c r="J153">
        <f t="shared" si="21"/>
        <v>0</v>
      </c>
      <c r="K153">
        <f t="shared" si="22"/>
        <v>0</v>
      </c>
      <c r="L153" s="51">
        <f>((Table57[[#This Row],[Decarb CapEx]]+Table57[[#This Row],[Green Bonds ($bn)]]+Table57[[#This Row],[Memberships]]+Table57[[#This Row],[Internal Carbon Price]])/4)</f>
        <v>0</v>
      </c>
      <c r="M153">
        <f t="shared" si="26"/>
        <v>0.01</v>
      </c>
      <c r="N153">
        <f t="shared" si="23"/>
        <v>0.6</v>
      </c>
      <c r="O153">
        <f t="shared" si="24"/>
        <v>0</v>
      </c>
      <c r="P153">
        <f t="shared" si="25"/>
        <v>0</v>
      </c>
      <c r="Q153" s="51">
        <f>((Table57[[#This Row],[Sust. Report Page '# ]]+Table57[[#This Row],[CDP Score]]+Table57[[#This Row],[Climate KPI''s]]+Table57[[#This Row],[Assurance Level]])/4)</f>
        <v>0.1525</v>
      </c>
      <c r="R153" s="51">
        <f>((Table57[[#This Row],[E1 Score]]+Table57[[#This Row],[E2 Score]]+Table57[[#This Row],[E3 Score]])/3)</f>
        <v>9.2499999999999985E-2</v>
      </c>
    </row>
    <row r="154" spans="2:18" ht="16" x14ac:dyDescent="0.4">
      <c r="B154" s="2" t="s">
        <v>297</v>
      </c>
      <c r="C154">
        <f t="shared" si="15"/>
        <v>0.5</v>
      </c>
      <c r="D154">
        <f t="shared" si="16"/>
        <v>1</v>
      </c>
      <c r="E154">
        <f t="shared" si="17"/>
        <v>0</v>
      </c>
      <c r="F154">
        <f t="shared" si="18"/>
        <v>0</v>
      </c>
      <c r="G154" s="51">
        <f>(Table57[[#This Row],[Net Zero Commitment]]+Table57[[#This Row],[Scope Coverage]]+Table57[[#This Row],[SBTi Validation]]+Table57[[#This Row],[TPI Alignment]])/4</f>
        <v>0.375</v>
      </c>
      <c r="H154">
        <f t="shared" si="19"/>
        <v>0</v>
      </c>
      <c r="I154">
        <f t="shared" si="20"/>
        <v>0</v>
      </c>
      <c r="J154">
        <f t="shared" si="21"/>
        <v>0</v>
      </c>
      <c r="K154">
        <f t="shared" si="22"/>
        <v>0</v>
      </c>
      <c r="L154" s="51">
        <f>((Table57[[#This Row],[Decarb CapEx]]+Table57[[#This Row],[Green Bonds ($bn)]]+Table57[[#This Row],[Memberships]]+Table57[[#This Row],[Internal Carbon Price]])/4)</f>
        <v>0</v>
      </c>
      <c r="M154">
        <f t="shared" si="26"/>
        <v>0.1</v>
      </c>
      <c r="N154">
        <f t="shared" si="23"/>
        <v>0.6</v>
      </c>
      <c r="O154">
        <f t="shared" si="24"/>
        <v>0</v>
      </c>
      <c r="P154">
        <f t="shared" si="25"/>
        <v>0</v>
      </c>
      <c r="Q154" s="51">
        <f>((Table57[[#This Row],[Sust. Report Page '# ]]+Table57[[#This Row],[CDP Score]]+Table57[[#This Row],[Climate KPI''s]]+Table57[[#This Row],[Assurance Level]])/4)</f>
        <v>0.17499999999999999</v>
      </c>
      <c r="R154" s="51">
        <f>((Table57[[#This Row],[E1 Score]]+Table57[[#This Row],[E2 Score]]+Table57[[#This Row],[E3 Score]])/3)</f>
        <v>0.18333333333333335</v>
      </c>
    </row>
    <row r="155" spans="2:18" ht="16" x14ac:dyDescent="0.4">
      <c r="B155" s="2" t="s">
        <v>38</v>
      </c>
      <c r="C155">
        <f t="shared" si="15"/>
        <v>0.5</v>
      </c>
      <c r="D155">
        <f t="shared" si="16"/>
        <v>0.5</v>
      </c>
      <c r="E155">
        <f t="shared" si="17"/>
        <v>0</v>
      </c>
      <c r="F155">
        <f t="shared" si="18"/>
        <v>0.6</v>
      </c>
      <c r="G155" s="51">
        <f>(Table57[[#This Row],[Net Zero Commitment]]+Table57[[#This Row],[Scope Coverage]]+Table57[[#This Row],[SBTi Validation]]+Table57[[#This Row],[TPI Alignment]])/4</f>
        <v>0.4</v>
      </c>
      <c r="H155">
        <f t="shared" si="19"/>
        <v>1</v>
      </c>
      <c r="I155">
        <f t="shared" si="20"/>
        <v>0.25</v>
      </c>
      <c r="J155">
        <f t="shared" si="21"/>
        <v>0.75</v>
      </c>
      <c r="K155">
        <f t="shared" si="22"/>
        <v>0</v>
      </c>
      <c r="L155" s="51">
        <f>((Table57[[#This Row],[Decarb CapEx]]+Table57[[#This Row],[Green Bonds ($bn)]]+Table57[[#This Row],[Memberships]]+Table57[[#This Row],[Internal Carbon Price]])/4)</f>
        <v>0.5</v>
      </c>
      <c r="M155">
        <f t="shared" si="26"/>
        <v>0.31</v>
      </c>
      <c r="N155">
        <f t="shared" si="23"/>
        <v>0</v>
      </c>
      <c r="O155">
        <f t="shared" si="24"/>
        <v>1</v>
      </c>
      <c r="P155">
        <f t="shared" si="25"/>
        <v>0.5</v>
      </c>
      <c r="Q155" s="51">
        <f>((Table57[[#This Row],[Sust. Report Page '# ]]+Table57[[#This Row],[CDP Score]]+Table57[[#This Row],[Climate KPI''s]]+Table57[[#This Row],[Assurance Level]])/4)</f>
        <v>0.45250000000000001</v>
      </c>
      <c r="R155" s="51">
        <f>((Table57[[#This Row],[E1 Score]]+Table57[[#This Row],[E2 Score]]+Table57[[#This Row],[E3 Score]])/3)</f>
        <v>0.45083333333333336</v>
      </c>
    </row>
    <row r="156" spans="2:18" ht="16" x14ac:dyDescent="0.4">
      <c r="B156" s="2" t="s">
        <v>307</v>
      </c>
      <c r="C156">
        <f t="shared" si="15"/>
        <v>0.75</v>
      </c>
      <c r="D156">
        <f t="shared" si="16"/>
        <v>1</v>
      </c>
      <c r="E156">
        <f t="shared" si="17"/>
        <v>0</v>
      </c>
      <c r="F156">
        <f t="shared" si="18"/>
        <v>0</v>
      </c>
      <c r="G156" s="51">
        <f>(Table57[[#This Row],[Net Zero Commitment]]+Table57[[#This Row],[Scope Coverage]]+Table57[[#This Row],[SBTi Validation]]+Table57[[#This Row],[TPI Alignment]])/4</f>
        <v>0.4375</v>
      </c>
      <c r="H156">
        <f t="shared" si="19"/>
        <v>0</v>
      </c>
      <c r="I156">
        <f t="shared" si="20"/>
        <v>0</v>
      </c>
      <c r="J156">
        <f t="shared" si="21"/>
        <v>0</v>
      </c>
      <c r="K156">
        <f t="shared" si="22"/>
        <v>0</v>
      </c>
      <c r="L156" s="51">
        <f>((Table57[[#This Row],[Decarb CapEx]]+Table57[[#This Row],[Green Bonds ($bn)]]+Table57[[#This Row],[Memberships]]+Table57[[#This Row],[Internal Carbon Price]])/4)</f>
        <v>0</v>
      </c>
      <c r="M156">
        <f t="shared" si="26"/>
        <v>0.01</v>
      </c>
      <c r="N156">
        <f t="shared" si="23"/>
        <v>0.6</v>
      </c>
      <c r="O156">
        <f t="shared" si="24"/>
        <v>0</v>
      </c>
      <c r="P156">
        <f t="shared" si="25"/>
        <v>0</v>
      </c>
      <c r="Q156" s="51">
        <f>((Table57[[#This Row],[Sust. Report Page '# ]]+Table57[[#This Row],[CDP Score]]+Table57[[#This Row],[Climate KPI''s]]+Table57[[#This Row],[Assurance Level]])/4)</f>
        <v>0.1525</v>
      </c>
      <c r="R156" s="51">
        <f>((Table57[[#This Row],[E1 Score]]+Table57[[#This Row],[E2 Score]]+Table57[[#This Row],[E3 Score]])/3)</f>
        <v>0.19666666666666666</v>
      </c>
    </row>
    <row r="157" spans="2:18" ht="16" x14ac:dyDescent="0.4">
      <c r="B157" s="2" t="s">
        <v>40</v>
      </c>
      <c r="C157">
        <f t="shared" si="15"/>
        <v>0.5</v>
      </c>
      <c r="D157">
        <f t="shared" si="16"/>
        <v>1</v>
      </c>
      <c r="E157">
        <f t="shared" si="17"/>
        <v>0</v>
      </c>
      <c r="F157">
        <f t="shared" si="18"/>
        <v>0.6</v>
      </c>
      <c r="G157" s="51">
        <f>(Table57[[#This Row],[Net Zero Commitment]]+Table57[[#This Row],[Scope Coverage]]+Table57[[#This Row],[SBTi Validation]]+Table57[[#This Row],[TPI Alignment]])/4</f>
        <v>0.52500000000000002</v>
      </c>
      <c r="H157">
        <f t="shared" si="19"/>
        <v>0</v>
      </c>
      <c r="I157">
        <f t="shared" si="20"/>
        <v>0</v>
      </c>
      <c r="J157">
        <f t="shared" si="21"/>
        <v>0</v>
      </c>
      <c r="K157">
        <f t="shared" si="22"/>
        <v>1</v>
      </c>
      <c r="L157" s="51">
        <f>((Table57[[#This Row],[Decarb CapEx]]+Table57[[#This Row],[Green Bonds ($bn)]]+Table57[[#This Row],[Memberships]]+Table57[[#This Row],[Internal Carbon Price]])/4)</f>
        <v>0.25</v>
      </c>
      <c r="M157">
        <f t="shared" si="26"/>
        <v>0.38</v>
      </c>
      <c r="N157">
        <f t="shared" si="23"/>
        <v>1</v>
      </c>
      <c r="O157">
        <f t="shared" si="24"/>
        <v>1</v>
      </c>
      <c r="P157">
        <f t="shared" si="25"/>
        <v>0.5</v>
      </c>
      <c r="Q157" s="51">
        <f>((Table57[[#This Row],[Sust. Report Page '# ]]+Table57[[#This Row],[CDP Score]]+Table57[[#This Row],[Climate KPI''s]]+Table57[[#This Row],[Assurance Level]])/4)</f>
        <v>0.72</v>
      </c>
      <c r="R157" s="51">
        <f>((Table57[[#This Row],[E1 Score]]+Table57[[#This Row],[E2 Score]]+Table57[[#This Row],[E3 Score]])/3)</f>
        <v>0.49833333333333335</v>
      </c>
    </row>
    <row r="158" spans="2:18" ht="16" x14ac:dyDescent="0.4">
      <c r="B158" s="2" t="s">
        <v>41</v>
      </c>
      <c r="C158">
        <f t="shared" si="15"/>
        <v>0.5</v>
      </c>
      <c r="D158">
        <f t="shared" si="16"/>
        <v>0</v>
      </c>
      <c r="E158">
        <f t="shared" si="17"/>
        <v>1</v>
      </c>
      <c r="F158">
        <f t="shared" si="18"/>
        <v>0</v>
      </c>
      <c r="G158" s="51">
        <f>(Table57[[#This Row],[Net Zero Commitment]]+Table57[[#This Row],[Scope Coverage]]+Table57[[#This Row],[SBTi Validation]]+Table57[[#This Row],[TPI Alignment]])/4</f>
        <v>0.375</v>
      </c>
      <c r="H158">
        <f t="shared" si="19"/>
        <v>0</v>
      </c>
      <c r="I158">
        <f t="shared" si="20"/>
        <v>0</v>
      </c>
      <c r="J158">
        <f t="shared" si="21"/>
        <v>0</v>
      </c>
      <c r="K158">
        <f t="shared" si="22"/>
        <v>0</v>
      </c>
      <c r="L158" s="51">
        <f>((Table57[[#This Row],[Decarb CapEx]]+Table57[[#This Row],[Green Bonds ($bn)]]+Table57[[#This Row],[Memberships]]+Table57[[#This Row],[Internal Carbon Price]])/4)</f>
        <v>0</v>
      </c>
      <c r="M158">
        <f t="shared" si="26"/>
        <v>0.56000000000000005</v>
      </c>
      <c r="N158">
        <f t="shared" si="23"/>
        <v>0</v>
      </c>
      <c r="O158">
        <f t="shared" si="24"/>
        <v>0</v>
      </c>
      <c r="P158">
        <f t="shared" si="25"/>
        <v>0.5</v>
      </c>
      <c r="Q158" s="51">
        <f>((Table57[[#This Row],[Sust. Report Page '# ]]+Table57[[#This Row],[CDP Score]]+Table57[[#This Row],[Climate KPI''s]]+Table57[[#This Row],[Assurance Level]])/4)</f>
        <v>0.26500000000000001</v>
      </c>
      <c r="R158" s="51">
        <f>((Table57[[#This Row],[E1 Score]]+Table57[[#This Row],[E2 Score]]+Table57[[#This Row],[E3 Score]])/3)</f>
        <v>0.21333333333333335</v>
      </c>
    </row>
    <row r="159" spans="2:18" ht="16" x14ac:dyDescent="0.4">
      <c r="B159" s="2" t="s">
        <v>320</v>
      </c>
      <c r="C159">
        <f t="shared" si="15"/>
        <v>0.5</v>
      </c>
      <c r="D159">
        <f t="shared" si="16"/>
        <v>1</v>
      </c>
      <c r="E159">
        <f t="shared" si="17"/>
        <v>1</v>
      </c>
      <c r="F159">
        <f t="shared" si="18"/>
        <v>0.8</v>
      </c>
      <c r="G159" s="51">
        <f>(Table57[[#This Row],[Net Zero Commitment]]+Table57[[#This Row],[Scope Coverage]]+Table57[[#This Row],[SBTi Validation]]+Table57[[#This Row],[TPI Alignment]])/4</f>
        <v>0.82499999999999996</v>
      </c>
      <c r="H159">
        <f t="shared" si="19"/>
        <v>0</v>
      </c>
      <c r="I159">
        <f t="shared" si="20"/>
        <v>0</v>
      </c>
      <c r="J159">
        <f t="shared" si="21"/>
        <v>0</v>
      </c>
      <c r="K159">
        <f t="shared" si="22"/>
        <v>0</v>
      </c>
      <c r="L159" s="51">
        <f>((Table57[[#This Row],[Decarb CapEx]]+Table57[[#This Row],[Green Bonds ($bn)]]+Table57[[#This Row],[Memberships]]+Table57[[#This Row],[Internal Carbon Price]])/4)</f>
        <v>0</v>
      </c>
      <c r="M159">
        <f t="shared" si="26"/>
        <v>0.65</v>
      </c>
      <c r="N159">
        <f t="shared" si="23"/>
        <v>0</v>
      </c>
      <c r="O159">
        <f t="shared" si="24"/>
        <v>1</v>
      </c>
      <c r="P159">
        <f t="shared" si="25"/>
        <v>0</v>
      </c>
      <c r="Q159" s="51">
        <f>((Table57[[#This Row],[Sust. Report Page '# ]]+Table57[[#This Row],[CDP Score]]+Table57[[#This Row],[Climate KPI''s]]+Table57[[#This Row],[Assurance Level]])/4)</f>
        <v>0.41249999999999998</v>
      </c>
      <c r="R159" s="51">
        <f>((Table57[[#This Row],[E1 Score]]+Table57[[#This Row],[E2 Score]]+Table57[[#This Row],[E3 Score]])/3)</f>
        <v>0.41249999999999992</v>
      </c>
    </row>
    <row r="160" spans="2:18" ht="16" x14ac:dyDescent="0.4">
      <c r="B160" s="2" t="s">
        <v>42</v>
      </c>
      <c r="C160">
        <f t="shared" si="15"/>
        <v>0.5</v>
      </c>
      <c r="D160">
        <f t="shared" si="16"/>
        <v>0</v>
      </c>
      <c r="E160">
        <f t="shared" si="17"/>
        <v>0</v>
      </c>
      <c r="F160">
        <f t="shared" si="18"/>
        <v>0</v>
      </c>
      <c r="G160" s="51">
        <f>(Table57[[#This Row],[Net Zero Commitment]]+Table57[[#This Row],[Scope Coverage]]+Table57[[#This Row],[SBTi Validation]]+Table57[[#This Row],[TPI Alignment]])/4</f>
        <v>0.125</v>
      </c>
      <c r="H160">
        <f t="shared" si="19"/>
        <v>0</v>
      </c>
      <c r="I160">
        <f t="shared" si="20"/>
        <v>0.5</v>
      </c>
      <c r="J160">
        <f t="shared" si="21"/>
        <v>0</v>
      </c>
      <c r="K160">
        <f t="shared" si="22"/>
        <v>0</v>
      </c>
      <c r="L160" s="51">
        <f>((Table57[[#This Row],[Decarb CapEx]]+Table57[[#This Row],[Green Bonds ($bn)]]+Table57[[#This Row],[Memberships]]+Table57[[#This Row],[Internal Carbon Price]])/4)</f>
        <v>0.125</v>
      </c>
      <c r="M160">
        <f t="shared" si="26"/>
        <v>0.69</v>
      </c>
      <c r="N160">
        <f t="shared" si="23"/>
        <v>0.8</v>
      </c>
      <c r="O160">
        <f t="shared" si="24"/>
        <v>0</v>
      </c>
      <c r="P160">
        <f t="shared" si="25"/>
        <v>0.5</v>
      </c>
      <c r="Q160" s="51">
        <f>((Table57[[#This Row],[Sust. Report Page '# ]]+Table57[[#This Row],[CDP Score]]+Table57[[#This Row],[Climate KPI''s]]+Table57[[#This Row],[Assurance Level]])/4)</f>
        <v>0.4975</v>
      </c>
      <c r="R160" s="51">
        <f>((Table57[[#This Row],[E1 Score]]+Table57[[#This Row],[E2 Score]]+Table57[[#This Row],[E3 Score]])/3)</f>
        <v>0.24916666666666668</v>
      </c>
    </row>
    <row r="161" spans="2:18" ht="16" x14ac:dyDescent="0.4">
      <c r="B161" s="2" t="s">
        <v>329</v>
      </c>
      <c r="C161">
        <f t="shared" si="15"/>
        <v>0.5</v>
      </c>
      <c r="D161">
        <f t="shared" si="16"/>
        <v>0.5</v>
      </c>
      <c r="E161">
        <f t="shared" si="17"/>
        <v>1</v>
      </c>
      <c r="F161">
        <f t="shared" si="18"/>
        <v>0.6</v>
      </c>
      <c r="G161" s="51">
        <f>(Table57[[#This Row],[Net Zero Commitment]]+Table57[[#This Row],[Scope Coverage]]+Table57[[#This Row],[SBTi Validation]]+Table57[[#This Row],[TPI Alignment]])/4</f>
        <v>0.65</v>
      </c>
      <c r="H161">
        <f t="shared" si="19"/>
        <v>0</v>
      </c>
      <c r="I161">
        <f t="shared" si="20"/>
        <v>0</v>
      </c>
      <c r="J161">
        <f t="shared" si="21"/>
        <v>0</v>
      </c>
      <c r="K161">
        <f t="shared" si="22"/>
        <v>0</v>
      </c>
      <c r="L161" s="51">
        <f>((Table57[[#This Row],[Decarb CapEx]]+Table57[[#This Row],[Green Bonds ($bn)]]+Table57[[#This Row],[Memberships]]+Table57[[#This Row],[Internal Carbon Price]])/4)</f>
        <v>0</v>
      </c>
      <c r="M161">
        <f t="shared" si="26"/>
        <v>1.36</v>
      </c>
      <c r="N161">
        <f t="shared" si="23"/>
        <v>0.8</v>
      </c>
      <c r="O161">
        <f t="shared" si="24"/>
        <v>1</v>
      </c>
      <c r="P161">
        <f t="shared" si="25"/>
        <v>0.5</v>
      </c>
      <c r="Q161" s="51">
        <f>((Table57[[#This Row],[Sust. Report Page '# ]]+Table57[[#This Row],[CDP Score]]+Table57[[#This Row],[Climate KPI''s]]+Table57[[#This Row],[Assurance Level]])/4)</f>
        <v>0.91500000000000004</v>
      </c>
      <c r="R161" s="51">
        <f>((Table57[[#This Row],[E1 Score]]+Table57[[#This Row],[E2 Score]]+Table57[[#This Row],[E3 Score]])/3)</f>
        <v>0.52166666666666661</v>
      </c>
    </row>
    <row r="162" spans="2:18" ht="16" x14ac:dyDescent="0.4">
      <c r="B162" s="2" t="s">
        <v>334</v>
      </c>
      <c r="C162">
        <f t="shared" si="15"/>
        <v>0.5</v>
      </c>
      <c r="D162">
        <f t="shared" si="16"/>
        <v>1</v>
      </c>
      <c r="E162">
        <f t="shared" si="17"/>
        <v>0</v>
      </c>
      <c r="F162">
        <f t="shared" si="18"/>
        <v>0</v>
      </c>
      <c r="G162" s="51">
        <f>(Table57[[#This Row],[Net Zero Commitment]]+Table57[[#This Row],[Scope Coverage]]+Table57[[#This Row],[SBTi Validation]]+Table57[[#This Row],[TPI Alignment]])/4</f>
        <v>0.375</v>
      </c>
      <c r="H162">
        <f t="shared" si="19"/>
        <v>0.75</v>
      </c>
      <c r="I162">
        <f t="shared" si="20"/>
        <v>0.5</v>
      </c>
      <c r="J162">
        <f t="shared" si="21"/>
        <v>0</v>
      </c>
      <c r="K162">
        <f t="shared" si="22"/>
        <v>0</v>
      </c>
      <c r="L162" s="51">
        <f>((Table57[[#This Row],[Decarb CapEx]]+Table57[[#This Row],[Green Bonds ($bn)]]+Table57[[#This Row],[Memberships]]+Table57[[#This Row],[Internal Carbon Price]])/4)</f>
        <v>0.3125</v>
      </c>
      <c r="M162">
        <f t="shared" si="26"/>
        <v>0.8</v>
      </c>
      <c r="N162">
        <f t="shared" si="23"/>
        <v>0</v>
      </c>
      <c r="O162">
        <f t="shared" si="24"/>
        <v>0</v>
      </c>
      <c r="P162">
        <f t="shared" si="25"/>
        <v>0</v>
      </c>
      <c r="Q162" s="51">
        <f>((Table57[[#This Row],[Sust. Report Page '# ]]+Table57[[#This Row],[CDP Score]]+Table57[[#This Row],[Climate KPI''s]]+Table57[[#This Row],[Assurance Level]])/4)</f>
        <v>0.2</v>
      </c>
      <c r="R162" s="51">
        <f>((Table57[[#This Row],[E1 Score]]+Table57[[#This Row],[E2 Score]]+Table57[[#This Row],[E3 Score]])/3)</f>
        <v>0.29583333333333334</v>
      </c>
    </row>
    <row r="163" spans="2:18" ht="16" x14ac:dyDescent="0.4">
      <c r="B163" s="2" t="s">
        <v>43</v>
      </c>
      <c r="C163">
        <f t="shared" si="15"/>
        <v>0.5</v>
      </c>
      <c r="D163">
        <f t="shared" si="16"/>
        <v>0.5</v>
      </c>
      <c r="E163">
        <f t="shared" si="17"/>
        <v>0</v>
      </c>
      <c r="F163">
        <f t="shared" si="18"/>
        <v>0.6</v>
      </c>
      <c r="G163" s="51">
        <f>(Table57[[#This Row],[Net Zero Commitment]]+Table57[[#This Row],[Scope Coverage]]+Table57[[#This Row],[SBTi Validation]]+Table57[[#This Row],[TPI Alignment]])/4</f>
        <v>0.4</v>
      </c>
      <c r="H163">
        <f t="shared" si="19"/>
        <v>0</v>
      </c>
      <c r="I163">
        <f t="shared" si="20"/>
        <v>0</v>
      </c>
      <c r="J163">
        <f t="shared" si="21"/>
        <v>0.75</v>
      </c>
      <c r="K163">
        <f t="shared" si="22"/>
        <v>0</v>
      </c>
      <c r="L163" s="51">
        <f>((Table57[[#This Row],[Decarb CapEx]]+Table57[[#This Row],[Green Bonds ($bn)]]+Table57[[#This Row],[Memberships]]+Table57[[#This Row],[Internal Carbon Price]])/4)</f>
        <v>0.1875</v>
      </c>
      <c r="M163">
        <f t="shared" si="26"/>
        <v>0.01</v>
      </c>
      <c r="N163">
        <f t="shared" si="23"/>
        <v>1</v>
      </c>
      <c r="O163">
        <f t="shared" si="24"/>
        <v>0</v>
      </c>
      <c r="P163">
        <f t="shared" si="25"/>
        <v>0</v>
      </c>
      <c r="Q163" s="51">
        <f>((Table57[[#This Row],[Sust. Report Page '# ]]+Table57[[#This Row],[CDP Score]]+Table57[[#This Row],[Climate KPI''s]]+Table57[[#This Row],[Assurance Level]])/4)</f>
        <v>0.2525</v>
      </c>
      <c r="R163" s="51">
        <f>((Table57[[#This Row],[E1 Score]]+Table57[[#This Row],[E2 Score]]+Table57[[#This Row],[E3 Score]])/3)</f>
        <v>0.28000000000000003</v>
      </c>
    </row>
    <row r="164" spans="2:18" ht="16" x14ac:dyDescent="0.4">
      <c r="B164" s="2" t="s">
        <v>44</v>
      </c>
      <c r="C164">
        <f t="shared" si="15"/>
        <v>0.5</v>
      </c>
      <c r="D164">
        <f t="shared" si="16"/>
        <v>1</v>
      </c>
      <c r="E164">
        <f t="shared" si="17"/>
        <v>1</v>
      </c>
      <c r="F164">
        <f t="shared" si="18"/>
        <v>0.8</v>
      </c>
      <c r="G164" s="51">
        <f>(Table57[[#This Row],[Net Zero Commitment]]+Table57[[#This Row],[Scope Coverage]]+Table57[[#This Row],[SBTi Validation]]+Table57[[#This Row],[TPI Alignment]])/4</f>
        <v>0.82499999999999996</v>
      </c>
      <c r="H164">
        <f t="shared" si="19"/>
        <v>0.75</v>
      </c>
      <c r="I164">
        <f t="shared" si="20"/>
        <v>0</v>
      </c>
      <c r="J164">
        <f t="shared" si="21"/>
        <v>0</v>
      </c>
      <c r="K164">
        <f t="shared" si="22"/>
        <v>0</v>
      </c>
      <c r="L164" s="51">
        <f>((Table57[[#This Row],[Decarb CapEx]]+Table57[[#This Row],[Green Bonds ($bn)]]+Table57[[#This Row],[Memberships]]+Table57[[#This Row],[Internal Carbon Price]])/4)</f>
        <v>0.1875</v>
      </c>
      <c r="M164">
        <f t="shared" si="26"/>
        <v>0.49</v>
      </c>
      <c r="N164">
        <f t="shared" si="23"/>
        <v>1</v>
      </c>
      <c r="O164">
        <f t="shared" si="24"/>
        <v>1</v>
      </c>
      <c r="P164">
        <f t="shared" si="25"/>
        <v>0</v>
      </c>
      <c r="Q164" s="51">
        <f>((Table57[[#This Row],[Sust. Report Page '# ]]+Table57[[#This Row],[CDP Score]]+Table57[[#This Row],[Climate KPI''s]]+Table57[[#This Row],[Assurance Level]])/4)</f>
        <v>0.62250000000000005</v>
      </c>
      <c r="R164" s="51">
        <f>((Table57[[#This Row],[E1 Score]]+Table57[[#This Row],[E2 Score]]+Table57[[#This Row],[E3 Score]])/3)</f>
        <v>0.54500000000000004</v>
      </c>
    </row>
    <row r="165" spans="2:18" ht="16" x14ac:dyDescent="0.4">
      <c r="B165" s="2" t="s">
        <v>45</v>
      </c>
      <c r="C165">
        <f t="shared" si="15"/>
        <v>0.5</v>
      </c>
      <c r="D165">
        <f t="shared" si="16"/>
        <v>1</v>
      </c>
      <c r="E165">
        <f t="shared" si="17"/>
        <v>1</v>
      </c>
      <c r="F165">
        <f t="shared" si="18"/>
        <v>0</v>
      </c>
      <c r="G165" s="51">
        <f>(Table57[[#This Row],[Net Zero Commitment]]+Table57[[#This Row],[Scope Coverage]]+Table57[[#This Row],[SBTi Validation]]+Table57[[#This Row],[TPI Alignment]])/4</f>
        <v>0.625</v>
      </c>
      <c r="H165">
        <f t="shared" si="19"/>
        <v>0</v>
      </c>
      <c r="I165">
        <f t="shared" si="20"/>
        <v>0</v>
      </c>
      <c r="J165">
        <f t="shared" si="21"/>
        <v>0.75</v>
      </c>
      <c r="K165">
        <f t="shared" si="22"/>
        <v>0</v>
      </c>
      <c r="L165" s="51">
        <f>((Table57[[#This Row],[Decarb CapEx]]+Table57[[#This Row],[Green Bonds ($bn)]]+Table57[[#This Row],[Memberships]]+Table57[[#This Row],[Internal Carbon Price]])/4)</f>
        <v>0.1875</v>
      </c>
      <c r="M165">
        <f t="shared" si="26"/>
        <v>0.57999999999999996</v>
      </c>
      <c r="N165">
        <f t="shared" si="23"/>
        <v>0</v>
      </c>
      <c r="O165">
        <f t="shared" si="24"/>
        <v>0</v>
      </c>
      <c r="P165">
        <f t="shared" si="25"/>
        <v>0.5</v>
      </c>
      <c r="Q165" s="51">
        <f>((Table57[[#This Row],[Sust. Report Page '# ]]+Table57[[#This Row],[CDP Score]]+Table57[[#This Row],[Climate KPI''s]]+Table57[[#This Row],[Assurance Level]])/4)</f>
        <v>0.27</v>
      </c>
      <c r="R165" s="51">
        <f>((Table57[[#This Row],[E1 Score]]+Table57[[#This Row],[E2 Score]]+Table57[[#This Row],[E3 Score]])/3)</f>
        <v>0.36083333333333334</v>
      </c>
    </row>
    <row r="166" spans="2:18" ht="16" x14ac:dyDescent="0.4">
      <c r="B166" s="2" t="s">
        <v>46</v>
      </c>
      <c r="C166">
        <f t="shared" si="15"/>
        <v>0.5</v>
      </c>
      <c r="D166">
        <f t="shared" si="16"/>
        <v>0</v>
      </c>
      <c r="E166">
        <f t="shared" si="17"/>
        <v>0</v>
      </c>
      <c r="F166">
        <f t="shared" si="18"/>
        <v>0</v>
      </c>
      <c r="G166" s="51">
        <f>(Table57[[#This Row],[Net Zero Commitment]]+Table57[[#This Row],[Scope Coverage]]+Table57[[#This Row],[SBTi Validation]]+Table57[[#This Row],[TPI Alignment]])/4</f>
        <v>0.125</v>
      </c>
      <c r="H166">
        <f t="shared" si="19"/>
        <v>0.75</v>
      </c>
      <c r="I166">
        <f t="shared" si="20"/>
        <v>0</v>
      </c>
      <c r="J166">
        <f t="shared" si="21"/>
        <v>0</v>
      </c>
      <c r="K166">
        <f t="shared" si="22"/>
        <v>0</v>
      </c>
      <c r="L166" s="51">
        <f>((Table57[[#This Row],[Decarb CapEx]]+Table57[[#This Row],[Green Bonds ($bn)]]+Table57[[#This Row],[Memberships]]+Table57[[#This Row],[Internal Carbon Price]])/4)</f>
        <v>0.1875</v>
      </c>
      <c r="M166">
        <f t="shared" si="26"/>
        <v>0.73</v>
      </c>
      <c r="N166">
        <f t="shared" si="23"/>
        <v>1</v>
      </c>
      <c r="O166">
        <f t="shared" si="24"/>
        <v>0</v>
      </c>
      <c r="P166">
        <f t="shared" si="25"/>
        <v>0</v>
      </c>
      <c r="Q166" s="51">
        <f>((Table57[[#This Row],[Sust. Report Page '# ]]+Table57[[#This Row],[CDP Score]]+Table57[[#This Row],[Climate KPI''s]]+Table57[[#This Row],[Assurance Level]])/4)</f>
        <v>0.4325</v>
      </c>
      <c r="R166" s="51">
        <f>((Table57[[#This Row],[E1 Score]]+Table57[[#This Row],[E2 Score]]+Table57[[#This Row],[E3 Score]])/3)</f>
        <v>0.24833333333333332</v>
      </c>
    </row>
    <row r="167" spans="2:18" ht="16" x14ac:dyDescent="0.4">
      <c r="B167" s="2" t="s">
        <v>47</v>
      </c>
      <c r="C167">
        <f t="shared" si="15"/>
        <v>0.5</v>
      </c>
      <c r="D167">
        <f t="shared" si="16"/>
        <v>1</v>
      </c>
      <c r="E167">
        <f t="shared" si="17"/>
        <v>1</v>
      </c>
      <c r="F167">
        <f t="shared" si="18"/>
        <v>0.8</v>
      </c>
      <c r="G167" s="51">
        <f>(Table57[[#This Row],[Net Zero Commitment]]+Table57[[#This Row],[Scope Coverage]]+Table57[[#This Row],[SBTi Validation]]+Table57[[#This Row],[TPI Alignment]])/4</f>
        <v>0.82499999999999996</v>
      </c>
      <c r="H167">
        <f t="shared" si="19"/>
        <v>1</v>
      </c>
      <c r="I167">
        <f t="shared" si="20"/>
        <v>1</v>
      </c>
      <c r="J167">
        <f t="shared" si="21"/>
        <v>0.75</v>
      </c>
      <c r="K167">
        <f t="shared" si="22"/>
        <v>0</v>
      </c>
      <c r="L167" s="51">
        <f>((Table57[[#This Row],[Decarb CapEx]]+Table57[[#This Row],[Green Bonds ($bn)]]+Table57[[#This Row],[Memberships]]+Table57[[#This Row],[Internal Carbon Price]])/4)</f>
        <v>0.6875</v>
      </c>
      <c r="M167">
        <f t="shared" si="26"/>
        <v>1.45</v>
      </c>
      <c r="N167">
        <f t="shared" si="23"/>
        <v>0.8</v>
      </c>
      <c r="O167">
        <f t="shared" si="24"/>
        <v>1</v>
      </c>
      <c r="P167">
        <f t="shared" si="25"/>
        <v>0.5</v>
      </c>
      <c r="Q167" s="51">
        <f>((Table57[[#This Row],[Sust. Report Page '# ]]+Table57[[#This Row],[CDP Score]]+Table57[[#This Row],[Climate KPI''s]]+Table57[[#This Row],[Assurance Level]])/4)</f>
        <v>0.9375</v>
      </c>
      <c r="R167" s="51">
        <f>((Table57[[#This Row],[E1 Score]]+Table57[[#This Row],[E2 Score]]+Table57[[#This Row],[E3 Score]])/3)</f>
        <v>0.81666666666666676</v>
      </c>
    </row>
    <row r="168" spans="2:18" ht="16" x14ac:dyDescent="0.4">
      <c r="B168" s="2" t="s">
        <v>362</v>
      </c>
      <c r="C168">
        <f t="shared" si="15"/>
        <v>0.5</v>
      </c>
      <c r="D168">
        <f t="shared" si="16"/>
        <v>1</v>
      </c>
      <c r="E168">
        <f t="shared" si="17"/>
        <v>0</v>
      </c>
      <c r="F168">
        <f t="shared" si="18"/>
        <v>0</v>
      </c>
      <c r="G168" s="51">
        <f>(Table57[[#This Row],[Net Zero Commitment]]+Table57[[#This Row],[Scope Coverage]]+Table57[[#This Row],[SBTi Validation]]+Table57[[#This Row],[TPI Alignment]])/4</f>
        <v>0.375</v>
      </c>
      <c r="H168">
        <f t="shared" si="19"/>
        <v>0</v>
      </c>
      <c r="I168">
        <f t="shared" si="20"/>
        <v>0.5</v>
      </c>
      <c r="J168">
        <f t="shared" si="21"/>
        <v>0</v>
      </c>
      <c r="K168">
        <f t="shared" si="22"/>
        <v>0</v>
      </c>
      <c r="L168" s="51">
        <f>((Table57[[#This Row],[Decarb CapEx]]+Table57[[#This Row],[Green Bonds ($bn)]]+Table57[[#This Row],[Memberships]]+Table57[[#This Row],[Internal Carbon Price]])/4)</f>
        <v>0.125</v>
      </c>
      <c r="M168">
        <f t="shared" si="26"/>
        <v>0.4</v>
      </c>
      <c r="N168">
        <f t="shared" si="23"/>
        <v>0.8</v>
      </c>
      <c r="O168">
        <f t="shared" si="24"/>
        <v>0</v>
      </c>
      <c r="P168">
        <f t="shared" si="25"/>
        <v>0.5</v>
      </c>
      <c r="Q168" s="51">
        <f>((Table57[[#This Row],[Sust. Report Page '# ]]+Table57[[#This Row],[CDP Score]]+Table57[[#This Row],[Climate KPI''s]]+Table57[[#This Row],[Assurance Level]])/4)</f>
        <v>0.42500000000000004</v>
      </c>
      <c r="R168" s="51">
        <f>((Table57[[#This Row],[E1 Score]]+Table57[[#This Row],[E2 Score]]+Table57[[#This Row],[E3 Score]])/3)</f>
        <v>0.30833333333333335</v>
      </c>
    </row>
    <row r="169" spans="2:18" ht="16" x14ac:dyDescent="0.4">
      <c r="B169" s="2" t="s">
        <v>367</v>
      </c>
      <c r="C169">
        <f t="shared" si="15"/>
        <v>0.5</v>
      </c>
      <c r="D169">
        <f t="shared" si="16"/>
        <v>1</v>
      </c>
      <c r="E169">
        <f t="shared" si="17"/>
        <v>1</v>
      </c>
      <c r="F169">
        <f t="shared" si="18"/>
        <v>1</v>
      </c>
      <c r="G169" s="51">
        <f>(Table57[[#This Row],[Net Zero Commitment]]+Table57[[#This Row],[Scope Coverage]]+Table57[[#This Row],[SBTi Validation]]+Table57[[#This Row],[TPI Alignment]])/4</f>
        <v>0.875</v>
      </c>
      <c r="H169">
        <f t="shared" si="19"/>
        <v>1</v>
      </c>
      <c r="I169">
        <f t="shared" si="20"/>
        <v>0</v>
      </c>
      <c r="J169">
        <f t="shared" si="21"/>
        <v>0.75</v>
      </c>
      <c r="K169">
        <f t="shared" si="22"/>
        <v>1</v>
      </c>
      <c r="L169" s="51">
        <f>((Table57[[#This Row],[Decarb CapEx]]+Table57[[#This Row],[Green Bonds ($bn)]]+Table57[[#This Row],[Memberships]]+Table57[[#This Row],[Internal Carbon Price]])/4)</f>
        <v>0.6875</v>
      </c>
      <c r="M169">
        <f t="shared" si="26"/>
        <v>0.59</v>
      </c>
      <c r="N169">
        <f t="shared" si="23"/>
        <v>0.8</v>
      </c>
      <c r="O169">
        <f t="shared" si="24"/>
        <v>1</v>
      </c>
      <c r="P169">
        <f t="shared" si="25"/>
        <v>0.5</v>
      </c>
      <c r="Q169" s="51">
        <f>((Table57[[#This Row],[Sust. Report Page '# ]]+Table57[[#This Row],[CDP Score]]+Table57[[#This Row],[Climate KPI''s]]+Table57[[#This Row],[Assurance Level]])/4)</f>
        <v>0.72250000000000003</v>
      </c>
      <c r="R169" s="51">
        <f>((Table57[[#This Row],[E1 Score]]+Table57[[#This Row],[E2 Score]]+Table57[[#This Row],[E3 Score]])/3)</f>
        <v>0.76166666666666671</v>
      </c>
    </row>
    <row r="170" spans="2:18" ht="16" x14ac:dyDescent="0.4">
      <c r="B170" s="2" t="s">
        <v>48</v>
      </c>
      <c r="C170">
        <f t="shared" si="15"/>
        <v>0.5</v>
      </c>
      <c r="D170">
        <f t="shared" si="16"/>
        <v>0</v>
      </c>
      <c r="E170">
        <f t="shared" si="17"/>
        <v>0</v>
      </c>
      <c r="F170">
        <f t="shared" si="18"/>
        <v>0</v>
      </c>
      <c r="G170" s="51">
        <f>(Table57[[#This Row],[Net Zero Commitment]]+Table57[[#This Row],[Scope Coverage]]+Table57[[#This Row],[SBTi Validation]]+Table57[[#This Row],[TPI Alignment]])/4</f>
        <v>0.125</v>
      </c>
      <c r="H170">
        <f t="shared" si="19"/>
        <v>0</v>
      </c>
      <c r="I170">
        <f t="shared" si="20"/>
        <v>0</v>
      </c>
      <c r="J170">
        <f t="shared" si="21"/>
        <v>0.75</v>
      </c>
      <c r="K170">
        <f t="shared" si="22"/>
        <v>0</v>
      </c>
      <c r="L170" s="51">
        <f>((Table57[[#This Row],[Decarb CapEx]]+Table57[[#This Row],[Green Bonds ($bn)]]+Table57[[#This Row],[Memberships]]+Table57[[#This Row],[Internal Carbon Price]])/4)</f>
        <v>0.1875</v>
      </c>
      <c r="M170">
        <f t="shared" si="26"/>
        <v>0.33</v>
      </c>
      <c r="N170">
        <f t="shared" si="23"/>
        <v>0.4</v>
      </c>
      <c r="O170">
        <f t="shared" si="24"/>
        <v>0</v>
      </c>
      <c r="P170">
        <f t="shared" si="25"/>
        <v>0.5</v>
      </c>
      <c r="Q170" s="51">
        <f>((Table57[[#This Row],[Sust. Report Page '# ]]+Table57[[#This Row],[CDP Score]]+Table57[[#This Row],[Climate KPI''s]]+Table57[[#This Row],[Assurance Level]])/4)</f>
        <v>0.3075</v>
      </c>
      <c r="R170" s="51">
        <f>((Table57[[#This Row],[E1 Score]]+Table57[[#This Row],[E2 Score]]+Table57[[#This Row],[E3 Score]])/3)</f>
        <v>0.20666666666666667</v>
      </c>
    </row>
    <row r="171" spans="2:18" ht="16" x14ac:dyDescent="0.4">
      <c r="B171" s="2" t="s">
        <v>49</v>
      </c>
      <c r="C171">
        <f t="shared" si="15"/>
        <v>0.75</v>
      </c>
      <c r="D171">
        <f t="shared" si="16"/>
        <v>1</v>
      </c>
      <c r="E171">
        <f t="shared" si="17"/>
        <v>1</v>
      </c>
      <c r="F171">
        <f t="shared" si="18"/>
        <v>0.6</v>
      </c>
      <c r="G171" s="51">
        <f>(Table57[[#This Row],[Net Zero Commitment]]+Table57[[#This Row],[Scope Coverage]]+Table57[[#This Row],[SBTi Validation]]+Table57[[#This Row],[TPI Alignment]])/4</f>
        <v>0.83750000000000002</v>
      </c>
      <c r="H171">
        <f t="shared" si="19"/>
        <v>0</v>
      </c>
      <c r="I171">
        <f t="shared" si="20"/>
        <v>0</v>
      </c>
      <c r="J171">
        <f t="shared" si="21"/>
        <v>0</v>
      </c>
      <c r="K171">
        <f t="shared" si="22"/>
        <v>1</v>
      </c>
      <c r="L171" s="51">
        <f>((Table57[[#This Row],[Decarb CapEx]]+Table57[[#This Row],[Green Bonds ($bn)]]+Table57[[#This Row],[Memberships]]+Table57[[#This Row],[Internal Carbon Price]])/4)</f>
        <v>0.25</v>
      </c>
      <c r="M171">
        <f t="shared" si="26"/>
        <v>0.59</v>
      </c>
      <c r="N171">
        <f t="shared" si="23"/>
        <v>0.6</v>
      </c>
      <c r="O171">
        <f t="shared" si="24"/>
        <v>0</v>
      </c>
      <c r="P171">
        <f t="shared" si="25"/>
        <v>0.5</v>
      </c>
      <c r="Q171" s="51">
        <f>((Table57[[#This Row],[Sust. Report Page '# ]]+Table57[[#This Row],[CDP Score]]+Table57[[#This Row],[Climate KPI''s]]+Table57[[#This Row],[Assurance Level]])/4)</f>
        <v>0.42249999999999999</v>
      </c>
      <c r="R171" s="51">
        <f>((Table57[[#This Row],[E1 Score]]+Table57[[#This Row],[E2 Score]]+Table57[[#This Row],[E3 Score]])/3)</f>
        <v>0.5033333333333333</v>
      </c>
    </row>
    <row r="172" spans="2:18" ht="16" x14ac:dyDescent="0.4">
      <c r="B172" s="2" t="s">
        <v>50</v>
      </c>
      <c r="C172">
        <f t="shared" si="15"/>
        <v>0.5</v>
      </c>
      <c r="D172">
        <f t="shared" si="16"/>
        <v>1</v>
      </c>
      <c r="E172">
        <f t="shared" si="17"/>
        <v>0</v>
      </c>
      <c r="F172">
        <f t="shared" si="18"/>
        <v>0.6</v>
      </c>
      <c r="G172" s="51">
        <f>(Table57[[#This Row],[Net Zero Commitment]]+Table57[[#This Row],[Scope Coverage]]+Table57[[#This Row],[SBTi Validation]]+Table57[[#This Row],[TPI Alignment]])/4</f>
        <v>0.52500000000000002</v>
      </c>
      <c r="H172">
        <f t="shared" si="19"/>
        <v>0</v>
      </c>
      <c r="I172">
        <f t="shared" si="20"/>
        <v>0</v>
      </c>
      <c r="J172">
        <f t="shared" si="21"/>
        <v>0</v>
      </c>
      <c r="K172">
        <f t="shared" si="22"/>
        <v>0</v>
      </c>
      <c r="L172" s="51">
        <f>((Table57[[#This Row],[Decarb CapEx]]+Table57[[#This Row],[Green Bonds ($bn)]]+Table57[[#This Row],[Memberships]]+Table57[[#This Row],[Internal Carbon Price]])/4)</f>
        <v>0</v>
      </c>
      <c r="M172">
        <f t="shared" si="26"/>
        <v>0.86</v>
      </c>
      <c r="N172">
        <f t="shared" si="23"/>
        <v>0.6</v>
      </c>
      <c r="O172">
        <f t="shared" si="24"/>
        <v>1</v>
      </c>
      <c r="P172">
        <f t="shared" si="25"/>
        <v>0</v>
      </c>
      <c r="Q172" s="51">
        <f>((Table57[[#This Row],[Sust. Report Page '# ]]+Table57[[#This Row],[CDP Score]]+Table57[[#This Row],[Climate KPI''s]]+Table57[[#This Row],[Assurance Level]])/4)</f>
        <v>0.61499999999999999</v>
      </c>
      <c r="R172" s="51">
        <f>((Table57[[#This Row],[E1 Score]]+Table57[[#This Row],[E2 Score]]+Table57[[#This Row],[E3 Score]])/3)</f>
        <v>0.38000000000000006</v>
      </c>
    </row>
    <row r="173" spans="2:18" ht="16" x14ac:dyDescent="0.4">
      <c r="B173" s="2" t="s">
        <v>51</v>
      </c>
      <c r="C173">
        <f t="shared" ref="C173:C204" si="27">IF(C69="",0,IF(C69&lt;=2030,1,IF(C69&lt;=2040,0.75,IF(C69&lt;="2050",0.5,0.2))))</f>
        <v>0.5</v>
      </c>
      <c r="D173">
        <f t="shared" ref="D173:D204" si="28">IF(D69="1+2+3",1,IF(D69="1+2",0.5,IF(D69="1",0.25,IF(D69="Unclear",0))))</f>
        <v>1</v>
      </c>
      <c r="E173">
        <f t="shared" ref="E173:E204" si="29">IF(E69="",0,IF(E69="No",0,IF(E69="Yes",1)))</f>
        <v>1</v>
      </c>
      <c r="F173">
        <f t="shared" ref="F173:F204" si="30">IF(F69=5,1,IF(F69=4,0.8,IF(F69=3,0.6,IF(F69=2,0.4,IF(F69=1,0.2,IF(F69=0,0,IF(F69="N/A",0)))))))</f>
        <v>1</v>
      </c>
      <c r="G173" s="51">
        <f>(Table57[[#This Row],[Net Zero Commitment]]+Table57[[#This Row],[Scope Coverage]]+Table57[[#This Row],[SBTi Validation]]+Table57[[#This Row],[TPI Alignment]])/4</f>
        <v>0.875</v>
      </c>
      <c r="H173">
        <f t="shared" ref="H173:H204" si="31">IF(H69="",0,IF(H69="None",0,IF(H69="A",0.5,IF(H69="B",0.75,IF(H69="C",1)))))</f>
        <v>1</v>
      </c>
      <c r="I173">
        <f t="shared" ref="I173:I204" si="32">IF(I69="",0,IF(I69="N/A",0,IF(I69&gt;=1,1,IF(I69&gt;=0.75,0.75,IF(I69&gt;=0.5,0.5,IF(I69&gt;=0.25,0.25,IF(I69&gt;0,0.25,0)))))))</f>
        <v>0</v>
      </c>
      <c r="J173">
        <f t="shared" ref="J173:J204" si="33">IF(J69="",0,IF(J69="No",0,IF(J69="Yes",0.75,IF(J69="Gold",1))))</f>
        <v>0</v>
      </c>
      <c r="K173">
        <f t="shared" ref="K173:K204" si="34">IF(K69="",0,IF(K69="No",0,IF(K69="Yes",1)))</f>
        <v>1</v>
      </c>
      <c r="L173" s="51">
        <f>((Table57[[#This Row],[Decarb CapEx]]+Table57[[#This Row],[Green Bonds ($bn)]]+Table57[[#This Row],[Memberships]]+Table57[[#This Row],[Internal Carbon Price]])/4)</f>
        <v>0.5</v>
      </c>
      <c r="M173">
        <f t="shared" si="26"/>
        <v>1.0900000000000001</v>
      </c>
      <c r="N173">
        <f t="shared" ref="N173:N204" si="35">IF(N69="",0,IF(N69="A",1,IF(N69="A-",0.8,IF(N69="B",0.6,IF(N69="C",0.4,IF(N69="D",0.2,IF(N69="F",0,IF(N69="N/A",0))))))))</f>
        <v>0.8</v>
      </c>
      <c r="O173">
        <f t="shared" ref="O173:O204" si="36">IF(O69="",0,IF(O69="N/A",0,IF(O69="No",0,IF(O69="Yes",1))))</f>
        <v>1</v>
      </c>
      <c r="P173">
        <f t="shared" ref="P173:P204" si="37">IF(P69="",0,IF(P69="Reasonable",1,IF(P69="Limited",0.5,IF(P69="None",0))))</f>
        <v>0.5</v>
      </c>
      <c r="Q173" s="51">
        <f>((Table57[[#This Row],[Sust. Report Page '# ]]+Table57[[#This Row],[CDP Score]]+Table57[[#This Row],[Climate KPI''s]]+Table57[[#This Row],[Assurance Level]])/4)</f>
        <v>0.84750000000000003</v>
      </c>
      <c r="R173" s="51">
        <f>((Table57[[#This Row],[E1 Score]]+Table57[[#This Row],[E2 Score]]+Table57[[#This Row],[E3 Score]])/3)</f>
        <v>0.74083333333333334</v>
      </c>
    </row>
    <row r="174" spans="2:18" ht="16" x14ac:dyDescent="0.4">
      <c r="B174" s="2" t="s">
        <v>52</v>
      </c>
      <c r="C174">
        <f t="shared" si="27"/>
        <v>0.5</v>
      </c>
      <c r="D174">
        <f t="shared" si="28"/>
        <v>1</v>
      </c>
      <c r="E174">
        <f t="shared" si="29"/>
        <v>1</v>
      </c>
      <c r="F174">
        <f t="shared" si="30"/>
        <v>1</v>
      </c>
      <c r="G174" s="51">
        <f>(Table57[[#This Row],[Net Zero Commitment]]+Table57[[#This Row],[Scope Coverage]]+Table57[[#This Row],[SBTi Validation]]+Table57[[#This Row],[TPI Alignment]])/4</f>
        <v>0.875</v>
      </c>
      <c r="H174">
        <f t="shared" si="31"/>
        <v>1</v>
      </c>
      <c r="I174">
        <f t="shared" si="32"/>
        <v>1</v>
      </c>
      <c r="J174">
        <f t="shared" si="33"/>
        <v>0</v>
      </c>
      <c r="K174">
        <f t="shared" si="34"/>
        <v>1</v>
      </c>
      <c r="L174" s="51">
        <f>((Table57[[#This Row],[Decarb CapEx]]+Table57[[#This Row],[Green Bonds ($bn)]]+Table57[[#This Row],[Memberships]]+Table57[[#This Row],[Internal Carbon Price]])/4)</f>
        <v>0.75</v>
      </c>
      <c r="M174">
        <f t="shared" si="26"/>
        <v>0.08</v>
      </c>
      <c r="N174">
        <f t="shared" si="35"/>
        <v>0.8</v>
      </c>
      <c r="O174">
        <f t="shared" si="36"/>
        <v>1</v>
      </c>
      <c r="P174">
        <f t="shared" si="37"/>
        <v>0.5</v>
      </c>
      <c r="Q174" s="51">
        <f>((Table57[[#This Row],[Sust. Report Page '# ]]+Table57[[#This Row],[CDP Score]]+Table57[[#This Row],[Climate KPI''s]]+Table57[[#This Row],[Assurance Level]])/4)</f>
        <v>0.59499999999999997</v>
      </c>
      <c r="R174" s="51">
        <f>((Table57[[#This Row],[E1 Score]]+Table57[[#This Row],[E2 Score]]+Table57[[#This Row],[E3 Score]])/3)</f>
        <v>0.73999999999999988</v>
      </c>
    </row>
    <row r="175" spans="2:18" ht="16" x14ac:dyDescent="0.4">
      <c r="B175" s="2" t="s">
        <v>53</v>
      </c>
      <c r="C175">
        <f t="shared" si="27"/>
        <v>0.5</v>
      </c>
      <c r="D175">
        <f t="shared" si="28"/>
        <v>1</v>
      </c>
      <c r="E175">
        <f t="shared" si="29"/>
        <v>0</v>
      </c>
      <c r="F175">
        <f t="shared" si="30"/>
        <v>0</v>
      </c>
      <c r="G175" s="51">
        <f>(Table57[[#This Row],[Net Zero Commitment]]+Table57[[#This Row],[Scope Coverage]]+Table57[[#This Row],[SBTi Validation]]+Table57[[#This Row],[TPI Alignment]])/4</f>
        <v>0.375</v>
      </c>
      <c r="H175">
        <f t="shared" si="31"/>
        <v>0.75</v>
      </c>
      <c r="I175">
        <f t="shared" si="32"/>
        <v>1</v>
      </c>
      <c r="J175">
        <f t="shared" si="33"/>
        <v>0.75</v>
      </c>
      <c r="K175">
        <f t="shared" si="34"/>
        <v>0</v>
      </c>
      <c r="L175" s="51">
        <f>((Table57[[#This Row],[Decarb CapEx]]+Table57[[#This Row],[Green Bonds ($bn)]]+Table57[[#This Row],[Memberships]]+Table57[[#This Row],[Internal Carbon Price]])/4)</f>
        <v>0.625</v>
      </c>
      <c r="M175">
        <f t="shared" si="26"/>
        <v>0.99</v>
      </c>
      <c r="N175">
        <f t="shared" si="35"/>
        <v>1</v>
      </c>
      <c r="O175">
        <f t="shared" si="36"/>
        <v>0</v>
      </c>
      <c r="P175">
        <f t="shared" si="37"/>
        <v>0</v>
      </c>
      <c r="Q175" s="51">
        <f>((Table57[[#This Row],[Sust. Report Page '# ]]+Table57[[#This Row],[CDP Score]]+Table57[[#This Row],[Climate KPI''s]]+Table57[[#This Row],[Assurance Level]])/4)</f>
        <v>0.4975</v>
      </c>
      <c r="R175" s="51">
        <f>((Table57[[#This Row],[E1 Score]]+Table57[[#This Row],[E2 Score]]+Table57[[#This Row],[E3 Score]])/3)</f>
        <v>0.4991666666666667</v>
      </c>
    </row>
    <row r="176" spans="2:18" ht="16" x14ac:dyDescent="0.4">
      <c r="B176" s="2" t="s">
        <v>398</v>
      </c>
      <c r="C176">
        <f t="shared" si="27"/>
        <v>0.5</v>
      </c>
      <c r="D176">
        <f t="shared" si="28"/>
        <v>0</v>
      </c>
      <c r="E176">
        <f t="shared" si="29"/>
        <v>1</v>
      </c>
      <c r="F176">
        <f t="shared" si="30"/>
        <v>0</v>
      </c>
      <c r="G176" s="51">
        <f>(Table57[[#This Row],[Net Zero Commitment]]+Table57[[#This Row],[Scope Coverage]]+Table57[[#This Row],[SBTi Validation]]+Table57[[#This Row],[TPI Alignment]])/4</f>
        <v>0.375</v>
      </c>
      <c r="H176">
        <f t="shared" si="31"/>
        <v>0</v>
      </c>
      <c r="I176">
        <f t="shared" si="32"/>
        <v>0</v>
      </c>
      <c r="J176">
        <f t="shared" si="33"/>
        <v>0.75</v>
      </c>
      <c r="K176">
        <f t="shared" si="34"/>
        <v>0</v>
      </c>
      <c r="L176" s="51">
        <f>((Table57[[#This Row],[Decarb CapEx]]+Table57[[#This Row],[Green Bonds ($bn)]]+Table57[[#This Row],[Memberships]]+Table57[[#This Row],[Internal Carbon Price]])/4)</f>
        <v>0.1875</v>
      </c>
      <c r="M176">
        <f t="shared" si="26"/>
        <v>0.57999999999999996</v>
      </c>
      <c r="N176">
        <f t="shared" si="35"/>
        <v>0</v>
      </c>
      <c r="O176">
        <f t="shared" si="36"/>
        <v>0</v>
      </c>
      <c r="P176">
        <f t="shared" si="37"/>
        <v>0</v>
      </c>
      <c r="Q176" s="51">
        <f>((Table57[[#This Row],[Sust. Report Page '# ]]+Table57[[#This Row],[CDP Score]]+Table57[[#This Row],[Climate KPI''s]]+Table57[[#This Row],[Assurance Level]])/4)</f>
        <v>0.14499999999999999</v>
      </c>
      <c r="R176" s="51">
        <f>((Table57[[#This Row],[E1 Score]]+Table57[[#This Row],[E2 Score]]+Table57[[#This Row],[E3 Score]])/3)</f>
        <v>0.23583333333333334</v>
      </c>
    </row>
    <row r="177" spans="2:18" ht="16" x14ac:dyDescent="0.4">
      <c r="B177" s="2" t="s">
        <v>54</v>
      </c>
      <c r="C177">
        <f t="shared" si="27"/>
        <v>1</v>
      </c>
      <c r="D177">
        <f t="shared" si="28"/>
        <v>1</v>
      </c>
      <c r="E177">
        <f t="shared" si="29"/>
        <v>1</v>
      </c>
      <c r="F177">
        <f t="shared" si="30"/>
        <v>0</v>
      </c>
      <c r="G177" s="51">
        <f>(Table57[[#This Row],[Net Zero Commitment]]+Table57[[#This Row],[Scope Coverage]]+Table57[[#This Row],[SBTi Validation]]+Table57[[#This Row],[TPI Alignment]])/4</f>
        <v>0.75</v>
      </c>
      <c r="H177">
        <f t="shared" si="31"/>
        <v>0</v>
      </c>
      <c r="I177">
        <f t="shared" si="32"/>
        <v>0.75</v>
      </c>
      <c r="J177">
        <f t="shared" si="33"/>
        <v>0.75</v>
      </c>
      <c r="K177">
        <f t="shared" si="34"/>
        <v>0</v>
      </c>
      <c r="L177" s="51">
        <f>((Table57[[#This Row],[Decarb CapEx]]+Table57[[#This Row],[Green Bonds ($bn)]]+Table57[[#This Row],[Memberships]]+Table57[[#This Row],[Internal Carbon Price]])/4)</f>
        <v>0.375</v>
      </c>
      <c r="M177">
        <f t="shared" ref="M177:M208" si="38">M73/100</f>
        <v>0.16</v>
      </c>
      <c r="N177">
        <f t="shared" si="35"/>
        <v>0.8</v>
      </c>
      <c r="O177">
        <f t="shared" si="36"/>
        <v>0</v>
      </c>
      <c r="P177">
        <f t="shared" si="37"/>
        <v>0.5</v>
      </c>
      <c r="Q177" s="51">
        <f>((Table57[[#This Row],[Sust. Report Page '# ]]+Table57[[#This Row],[CDP Score]]+Table57[[#This Row],[Climate KPI''s]]+Table57[[#This Row],[Assurance Level]])/4)</f>
        <v>0.36499999999999999</v>
      </c>
      <c r="R177" s="51">
        <f>((Table57[[#This Row],[E1 Score]]+Table57[[#This Row],[E2 Score]]+Table57[[#This Row],[E3 Score]])/3)</f>
        <v>0.49666666666666665</v>
      </c>
    </row>
    <row r="178" spans="2:18" ht="16" x14ac:dyDescent="0.4">
      <c r="B178" s="2" t="s">
        <v>56</v>
      </c>
      <c r="C178">
        <f t="shared" si="27"/>
        <v>0.5</v>
      </c>
      <c r="D178">
        <f t="shared" si="28"/>
        <v>1</v>
      </c>
      <c r="E178">
        <f t="shared" si="29"/>
        <v>1</v>
      </c>
      <c r="F178">
        <f t="shared" si="30"/>
        <v>0</v>
      </c>
      <c r="G178" s="51">
        <f>(Table57[[#This Row],[Net Zero Commitment]]+Table57[[#This Row],[Scope Coverage]]+Table57[[#This Row],[SBTi Validation]]+Table57[[#This Row],[TPI Alignment]])/4</f>
        <v>0.625</v>
      </c>
      <c r="H178">
        <f t="shared" si="31"/>
        <v>0</v>
      </c>
      <c r="I178">
        <f t="shared" si="32"/>
        <v>0</v>
      </c>
      <c r="J178">
        <f t="shared" si="33"/>
        <v>0</v>
      </c>
      <c r="K178">
        <f t="shared" si="34"/>
        <v>0</v>
      </c>
      <c r="L178" s="51">
        <f>((Table57[[#This Row],[Decarb CapEx]]+Table57[[#This Row],[Green Bonds ($bn)]]+Table57[[#This Row],[Memberships]]+Table57[[#This Row],[Internal Carbon Price]])/4)</f>
        <v>0</v>
      </c>
      <c r="M178">
        <f t="shared" si="38"/>
        <v>2</v>
      </c>
      <c r="N178">
        <f t="shared" si="35"/>
        <v>0.8</v>
      </c>
      <c r="O178">
        <f t="shared" si="36"/>
        <v>0</v>
      </c>
      <c r="P178">
        <f t="shared" si="37"/>
        <v>0.5</v>
      </c>
      <c r="Q178" s="51">
        <f>((Table57[[#This Row],[Sust. Report Page '# ]]+Table57[[#This Row],[CDP Score]]+Table57[[#This Row],[Climate KPI''s]]+Table57[[#This Row],[Assurance Level]])/4)</f>
        <v>0.82499999999999996</v>
      </c>
      <c r="R178" s="51">
        <f>((Table57[[#This Row],[E1 Score]]+Table57[[#This Row],[E2 Score]]+Table57[[#This Row],[E3 Score]])/3)</f>
        <v>0.48333333333333334</v>
      </c>
    </row>
    <row r="179" spans="2:18" ht="16" x14ac:dyDescent="0.4">
      <c r="B179" s="2" t="s">
        <v>57</v>
      </c>
      <c r="C179">
        <f t="shared" si="27"/>
        <v>0.5</v>
      </c>
      <c r="D179">
        <f t="shared" si="28"/>
        <v>0</v>
      </c>
      <c r="E179">
        <f t="shared" si="29"/>
        <v>0</v>
      </c>
      <c r="F179">
        <f t="shared" si="30"/>
        <v>0</v>
      </c>
      <c r="G179" s="51">
        <f>(Table57[[#This Row],[Net Zero Commitment]]+Table57[[#This Row],[Scope Coverage]]+Table57[[#This Row],[SBTi Validation]]+Table57[[#This Row],[TPI Alignment]])/4</f>
        <v>0.125</v>
      </c>
      <c r="H179">
        <f t="shared" si="31"/>
        <v>0</v>
      </c>
      <c r="I179">
        <f t="shared" si="32"/>
        <v>0</v>
      </c>
      <c r="J179">
        <f t="shared" si="33"/>
        <v>0</v>
      </c>
      <c r="K179">
        <f t="shared" si="34"/>
        <v>0</v>
      </c>
      <c r="L179" s="51">
        <f>((Table57[[#This Row],[Decarb CapEx]]+Table57[[#This Row],[Green Bonds ($bn)]]+Table57[[#This Row],[Memberships]]+Table57[[#This Row],[Internal Carbon Price]])/4)</f>
        <v>0</v>
      </c>
      <c r="M179">
        <f t="shared" si="38"/>
        <v>0.05</v>
      </c>
      <c r="N179">
        <f t="shared" si="35"/>
        <v>0</v>
      </c>
      <c r="O179">
        <f t="shared" si="36"/>
        <v>0</v>
      </c>
      <c r="P179">
        <f t="shared" si="37"/>
        <v>0.5</v>
      </c>
      <c r="Q179" s="51">
        <f>((Table57[[#This Row],[Sust. Report Page '# ]]+Table57[[#This Row],[CDP Score]]+Table57[[#This Row],[Climate KPI''s]]+Table57[[#This Row],[Assurance Level]])/4)</f>
        <v>0.13750000000000001</v>
      </c>
      <c r="R179" s="51">
        <f>((Table57[[#This Row],[E1 Score]]+Table57[[#This Row],[E2 Score]]+Table57[[#This Row],[E3 Score]])/3)</f>
        <v>8.7500000000000008E-2</v>
      </c>
    </row>
    <row r="180" spans="2:18" ht="16" x14ac:dyDescent="0.4">
      <c r="B180" s="2" t="s">
        <v>58</v>
      </c>
      <c r="C180">
        <f t="shared" si="27"/>
        <v>0.5</v>
      </c>
      <c r="D180">
        <f t="shared" si="28"/>
        <v>1</v>
      </c>
      <c r="E180">
        <f t="shared" si="29"/>
        <v>1</v>
      </c>
      <c r="F180">
        <f t="shared" si="30"/>
        <v>0.8</v>
      </c>
      <c r="G180" s="51">
        <f>(Table57[[#This Row],[Net Zero Commitment]]+Table57[[#This Row],[Scope Coverage]]+Table57[[#This Row],[SBTi Validation]]+Table57[[#This Row],[TPI Alignment]])/4</f>
        <v>0.82499999999999996</v>
      </c>
      <c r="H180">
        <f t="shared" si="31"/>
        <v>0</v>
      </c>
      <c r="I180">
        <f t="shared" si="32"/>
        <v>0</v>
      </c>
      <c r="J180">
        <f t="shared" si="33"/>
        <v>0</v>
      </c>
      <c r="K180">
        <f t="shared" si="34"/>
        <v>0</v>
      </c>
      <c r="L180" s="51">
        <f>((Table57[[#This Row],[Decarb CapEx]]+Table57[[#This Row],[Green Bonds ($bn)]]+Table57[[#This Row],[Memberships]]+Table57[[#This Row],[Internal Carbon Price]])/4)</f>
        <v>0</v>
      </c>
      <c r="M180">
        <f t="shared" si="38"/>
        <v>0.87</v>
      </c>
      <c r="N180">
        <f t="shared" si="35"/>
        <v>0.8</v>
      </c>
      <c r="O180">
        <f t="shared" si="36"/>
        <v>1</v>
      </c>
      <c r="P180">
        <f t="shared" si="37"/>
        <v>0.5</v>
      </c>
      <c r="Q180" s="51">
        <f>((Table57[[#This Row],[Sust. Report Page '# ]]+Table57[[#This Row],[CDP Score]]+Table57[[#This Row],[Climate KPI''s]]+Table57[[#This Row],[Assurance Level]])/4)</f>
        <v>0.79249999999999998</v>
      </c>
      <c r="R180" s="51">
        <f>((Table57[[#This Row],[E1 Score]]+Table57[[#This Row],[E2 Score]]+Table57[[#This Row],[E3 Score]])/3)</f>
        <v>0.53916666666666668</v>
      </c>
    </row>
    <row r="181" spans="2:18" ht="16" x14ac:dyDescent="0.4">
      <c r="B181" s="2" t="s">
        <v>59</v>
      </c>
      <c r="C181">
        <f t="shared" si="27"/>
        <v>0.5</v>
      </c>
      <c r="D181">
        <f t="shared" si="28"/>
        <v>1</v>
      </c>
      <c r="E181">
        <f t="shared" si="29"/>
        <v>0</v>
      </c>
      <c r="F181">
        <f t="shared" si="30"/>
        <v>0.6</v>
      </c>
      <c r="G181" s="51">
        <f>(Table57[[#This Row],[Net Zero Commitment]]+Table57[[#This Row],[Scope Coverage]]+Table57[[#This Row],[SBTi Validation]]+Table57[[#This Row],[TPI Alignment]])/4</f>
        <v>0.52500000000000002</v>
      </c>
      <c r="H181">
        <f t="shared" si="31"/>
        <v>0</v>
      </c>
      <c r="I181">
        <f t="shared" si="32"/>
        <v>0</v>
      </c>
      <c r="J181">
        <f t="shared" si="33"/>
        <v>0.75</v>
      </c>
      <c r="K181">
        <f t="shared" si="34"/>
        <v>1</v>
      </c>
      <c r="L181" s="51">
        <f>((Table57[[#This Row],[Decarb CapEx]]+Table57[[#This Row],[Green Bonds ($bn)]]+Table57[[#This Row],[Memberships]]+Table57[[#This Row],[Internal Carbon Price]])/4)</f>
        <v>0.4375</v>
      </c>
      <c r="M181">
        <f t="shared" si="38"/>
        <v>0.68</v>
      </c>
      <c r="N181">
        <f t="shared" si="35"/>
        <v>1</v>
      </c>
      <c r="O181">
        <f t="shared" si="36"/>
        <v>0</v>
      </c>
      <c r="P181">
        <f t="shared" si="37"/>
        <v>0.5</v>
      </c>
      <c r="Q181" s="51">
        <f>((Table57[[#This Row],[Sust. Report Page '# ]]+Table57[[#This Row],[CDP Score]]+Table57[[#This Row],[Climate KPI''s]]+Table57[[#This Row],[Assurance Level]])/4)</f>
        <v>0.54500000000000004</v>
      </c>
      <c r="R181" s="51">
        <f>((Table57[[#This Row],[E1 Score]]+Table57[[#This Row],[E2 Score]]+Table57[[#This Row],[E3 Score]])/3)</f>
        <v>0.50250000000000006</v>
      </c>
    </row>
    <row r="182" spans="2:18" ht="16" x14ac:dyDescent="0.4">
      <c r="B182" s="2" t="s">
        <v>60</v>
      </c>
      <c r="C182">
        <f t="shared" si="27"/>
        <v>0.5</v>
      </c>
      <c r="D182">
        <f t="shared" si="28"/>
        <v>1</v>
      </c>
      <c r="E182">
        <f t="shared" si="29"/>
        <v>1</v>
      </c>
      <c r="F182">
        <f t="shared" si="30"/>
        <v>0.6</v>
      </c>
      <c r="G182" s="51">
        <f>(Table57[[#This Row],[Net Zero Commitment]]+Table57[[#This Row],[Scope Coverage]]+Table57[[#This Row],[SBTi Validation]]+Table57[[#This Row],[TPI Alignment]])/4</f>
        <v>0.77500000000000002</v>
      </c>
      <c r="H182">
        <f t="shared" si="31"/>
        <v>0</v>
      </c>
      <c r="I182">
        <f t="shared" si="32"/>
        <v>0</v>
      </c>
      <c r="J182">
        <f t="shared" si="33"/>
        <v>0.75</v>
      </c>
      <c r="K182">
        <f t="shared" si="34"/>
        <v>1</v>
      </c>
      <c r="L182" s="51">
        <f>((Table57[[#This Row],[Decarb CapEx]]+Table57[[#This Row],[Green Bonds ($bn)]]+Table57[[#This Row],[Memberships]]+Table57[[#This Row],[Internal Carbon Price]])/4)</f>
        <v>0.4375</v>
      </c>
      <c r="M182">
        <f t="shared" si="38"/>
        <v>0.37</v>
      </c>
      <c r="N182">
        <f t="shared" si="35"/>
        <v>0.6</v>
      </c>
      <c r="O182">
        <f t="shared" si="36"/>
        <v>0</v>
      </c>
      <c r="P182">
        <f t="shared" si="37"/>
        <v>0.5</v>
      </c>
      <c r="Q182" s="51">
        <f>((Table57[[#This Row],[Sust. Report Page '# ]]+Table57[[#This Row],[CDP Score]]+Table57[[#This Row],[Climate KPI''s]]+Table57[[#This Row],[Assurance Level]])/4)</f>
        <v>0.36749999999999999</v>
      </c>
      <c r="R182" s="51">
        <f>((Table57[[#This Row],[E1 Score]]+Table57[[#This Row],[E2 Score]]+Table57[[#This Row],[E3 Score]])/3)</f>
        <v>0.52666666666666662</v>
      </c>
    </row>
    <row r="183" spans="2:18" ht="16" x14ac:dyDescent="0.4">
      <c r="B183" s="2" t="s">
        <v>61</v>
      </c>
      <c r="C183">
        <f t="shared" si="27"/>
        <v>0.5</v>
      </c>
      <c r="D183">
        <f t="shared" si="28"/>
        <v>0.5</v>
      </c>
      <c r="E183">
        <f t="shared" si="29"/>
        <v>0</v>
      </c>
      <c r="F183">
        <f t="shared" si="30"/>
        <v>0.6</v>
      </c>
      <c r="G183" s="51">
        <f>(Table57[[#This Row],[Net Zero Commitment]]+Table57[[#This Row],[Scope Coverage]]+Table57[[#This Row],[SBTi Validation]]+Table57[[#This Row],[TPI Alignment]])/4</f>
        <v>0.4</v>
      </c>
      <c r="H183">
        <f t="shared" si="31"/>
        <v>0</v>
      </c>
      <c r="I183">
        <f t="shared" si="32"/>
        <v>0</v>
      </c>
      <c r="J183">
        <f t="shared" si="33"/>
        <v>0</v>
      </c>
      <c r="K183">
        <f t="shared" si="34"/>
        <v>0</v>
      </c>
      <c r="L183" s="51">
        <f>((Table57[[#This Row],[Decarb CapEx]]+Table57[[#This Row],[Green Bonds ($bn)]]+Table57[[#This Row],[Memberships]]+Table57[[#This Row],[Internal Carbon Price]])/4)</f>
        <v>0</v>
      </c>
      <c r="M183">
        <f t="shared" si="38"/>
        <v>0.76</v>
      </c>
      <c r="N183">
        <f t="shared" si="35"/>
        <v>0</v>
      </c>
      <c r="O183">
        <f t="shared" si="36"/>
        <v>0</v>
      </c>
      <c r="P183">
        <f t="shared" si="37"/>
        <v>0</v>
      </c>
      <c r="Q183" s="51">
        <f>((Table57[[#This Row],[Sust. Report Page '# ]]+Table57[[#This Row],[CDP Score]]+Table57[[#This Row],[Climate KPI''s]]+Table57[[#This Row],[Assurance Level]])/4)</f>
        <v>0.19</v>
      </c>
      <c r="R183" s="51">
        <f>((Table57[[#This Row],[E1 Score]]+Table57[[#This Row],[E2 Score]]+Table57[[#This Row],[E3 Score]])/3)</f>
        <v>0.19666666666666668</v>
      </c>
    </row>
    <row r="184" spans="2:18" ht="16" x14ac:dyDescent="0.4">
      <c r="B184" s="2" t="s">
        <v>62</v>
      </c>
      <c r="C184">
        <f t="shared" si="27"/>
        <v>0.5</v>
      </c>
      <c r="D184">
        <f t="shared" si="28"/>
        <v>1</v>
      </c>
      <c r="E184">
        <f t="shared" si="29"/>
        <v>0</v>
      </c>
      <c r="F184">
        <f t="shared" si="30"/>
        <v>0</v>
      </c>
      <c r="G184" s="51">
        <f>(Table57[[#This Row],[Net Zero Commitment]]+Table57[[#This Row],[Scope Coverage]]+Table57[[#This Row],[SBTi Validation]]+Table57[[#This Row],[TPI Alignment]])/4</f>
        <v>0.375</v>
      </c>
      <c r="H184">
        <f t="shared" si="31"/>
        <v>0</v>
      </c>
      <c r="I184">
        <f t="shared" si="32"/>
        <v>0</v>
      </c>
      <c r="J184">
        <f t="shared" si="33"/>
        <v>0</v>
      </c>
      <c r="K184">
        <f t="shared" si="34"/>
        <v>0</v>
      </c>
      <c r="L184" s="51">
        <f>((Table57[[#This Row],[Decarb CapEx]]+Table57[[#This Row],[Green Bonds ($bn)]]+Table57[[#This Row],[Memberships]]+Table57[[#This Row],[Internal Carbon Price]])/4)</f>
        <v>0</v>
      </c>
      <c r="M184">
        <f t="shared" si="38"/>
        <v>0.19</v>
      </c>
      <c r="N184">
        <f t="shared" si="35"/>
        <v>0</v>
      </c>
      <c r="O184">
        <f t="shared" si="36"/>
        <v>0</v>
      </c>
      <c r="P184">
        <f t="shared" si="37"/>
        <v>0</v>
      </c>
      <c r="Q184" s="51">
        <f>((Table57[[#This Row],[Sust. Report Page '# ]]+Table57[[#This Row],[CDP Score]]+Table57[[#This Row],[Climate KPI''s]]+Table57[[#This Row],[Assurance Level]])/4)</f>
        <v>4.7500000000000001E-2</v>
      </c>
      <c r="R184" s="51">
        <f>((Table57[[#This Row],[E1 Score]]+Table57[[#This Row],[E2 Score]]+Table57[[#This Row],[E3 Score]])/3)</f>
        <v>0.14083333333333334</v>
      </c>
    </row>
    <row r="185" spans="2:18" ht="16" x14ac:dyDescent="0.4">
      <c r="B185" s="2" t="s">
        <v>439</v>
      </c>
      <c r="C185">
        <f t="shared" si="27"/>
        <v>1</v>
      </c>
      <c r="D185">
        <f t="shared" si="28"/>
        <v>1</v>
      </c>
      <c r="E185">
        <f t="shared" si="29"/>
        <v>1</v>
      </c>
      <c r="F185">
        <f t="shared" si="30"/>
        <v>1</v>
      </c>
      <c r="G185" s="51">
        <f>(Table57[[#This Row],[Net Zero Commitment]]+Table57[[#This Row],[Scope Coverage]]+Table57[[#This Row],[SBTi Validation]]+Table57[[#This Row],[TPI Alignment]])/4</f>
        <v>1</v>
      </c>
      <c r="H185">
        <f t="shared" si="31"/>
        <v>1</v>
      </c>
      <c r="I185">
        <f t="shared" si="32"/>
        <v>0</v>
      </c>
      <c r="J185">
        <f t="shared" si="33"/>
        <v>0</v>
      </c>
      <c r="K185">
        <f t="shared" si="34"/>
        <v>1</v>
      </c>
      <c r="L185" s="51">
        <f>((Table57[[#This Row],[Decarb CapEx]]+Table57[[#This Row],[Green Bonds ($bn)]]+Table57[[#This Row],[Memberships]]+Table57[[#This Row],[Internal Carbon Price]])/4)</f>
        <v>0.5</v>
      </c>
      <c r="M185">
        <f t="shared" si="38"/>
        <v>0.14000000000000001</v>
      </c>
      <c r="N185">
        <f t="shared" si="35"/>
        <v>0</v>
      </c>
      <c r="O185">
        <f t="shared" si="36"/>
        <v>0</v>
      </c>
      <c r="P185">
        <f t="shared" si="37"/>
        <v>0.5</v>
      </c>
      <c r="Q185" s="51">
        <f>((Table57[[#This Row],[Sust. Report Page '# ]]+Table57[[#This Row],[CDP Score]]+Table57[[#This Row],[Climate KPI''s]]+Table57[[#This Row],[Assurance Level]])/4)</f>
        <v>0.16</v>
      </c>
      <c r="R185" s="51">
        <f>((Table57[[#This Row],[E1 Score]]+Table57[[#This Row],[E2 Score]]+Table57[[#This Row],[E3 Score]])/3)</f>
        <v>0.55333333333333334</v>
      </c>
    </row>
    <row r="186" spans="2:18" ht="16" x14ac:dyDescent="0.4">
      <c r="B186" s="2" t="s">
        <v>63</v>
      </c>
      <c r="C186">
        <f t="shared" si="27"/>
        <v>0.5</v>
      </c>
      <c r="D186">
        <f t="shared" si="28"/>
        <v>1</v>
      </c>
      <c r="E186">
        <f t="shared" si="29"/>
        <v>1</v>
      </c>
      <c r="F186">
        <f t="shared" si="30"/>
        <v>0.8</v>
      </c>
      <c r="G186" s="51">
        <f>(Table57[[#This Row],[Net Zero Commitment]]+Table57[[#This Row],[Scope Coverage]]+Table57[[#This Row],[SBTi Validation]]+Table57[[#This Row],[TPI Alignment]])/4</f>
        <v>0.82499999999999996</v>
      </c>
      <c r="H186">
        <f t="shared" si="31"/>
        <v>0.75</v>
      </c>
      <c r="I186">
        <f t="shared" si="32"/>
        <v>0</v>
      </c>
      <c r="J186">
        <f t="shared" si="33"/>
        <v>0</v>
      </c>
      <c r="K186">
        <f t="shared" si="34"/>
        <v>0</v>
      </c>
      <c r="L186" s="51">
        <f>((Table57[[#This Row],[Decarb CapEx]]+Table57[[#This Row],[Green Bonds ($bn)]]+Table57[[#This Row],[Memberships]]+Table57[[#This Row],[Internal Carbon Price]])/4)</f>
        <v>0.1875</v>
      </c>
      <c r="M186">
        <f t="shared" si="38"/>
        <v>0.01</v>
      </c>
      <c r="N186">
        <f t="shared" si="35"/>
        <v>0.4</v>
      </c>
      <c r="O186">
        <f t="shared" si="36"/>
        <v>1</v>
      </c>
      <c r="P186">
        <f t="shared" si="37"/>
        <v>0.5</v>
      </c>
      <c r="Q186" s="51">
        <f>((Table57[[#This Row],[Sust. Report Page '# ]]+Table57[[#This Row],[CDP Score]]+Table57[[#This Row],[Climate KPI''s]]+Table57[[#This Row],[Assurance Level]])/4)</f>
        <v>0.47750000000000004</v>
      </c>
      <c r="R186" s="51">
        <f>((Table57[[#This Row],[E1 Score]]+Table57[[#This Row],[E2 Score]]+Table57[[#This Row],[E3 Score]])/3)</f>
        <v>0.49666666666666665</v>
      </c>
    </row>
    <row r="187" spans="2:18" ht="16" x14ac:dyDescent="0.4">
      <c r="B187" s="2" t="s">
        <v>448</v>
      </c>
      <c r="C187">
        <f t="shared" si="27"/>
        <v>0.75</v>
      </c>
      <c r="D187">
        <f t="shared" si="28"/>
        <v>1</v>
      </c>
      <c r="E187">
        <f t="shared" si="29"/>
        <v>0</v>
      </c>
      <c r="F187">
        <f t="shared" si="30"/>
        <v>0</v>
      </c>
      <c r="G187" s="51">
        <f>(Table57[[#This Row],[Net Zero Commitment]]+Table57[[#This Row],[Scope Coverage]]+Table57[[#This Row],[SBTi Validation]]+Table57[[#This Row],[TPI Alignment]])/4</f>
        <v>0.4375</v>
      </c>
      <c r="H187">
        <f t="shared" si="31"/>
        <v>0</v>
      </c>
      <c r="I187">
        <f t="shared" si="32"/>
        <v>0.5</v>
      </c>
      <c r="J187">
        <f t="shared" si="33"/>
        <v>0</v>
      </c>
      <c r="K187">
        <f t="shared" si="34"/>
        <v>0</v>
      </c>
      <c r="L187" s="51">
        <f>((Table57[[#This Row],[Decarb CapEx]]+Table57[[#This Row],[Green Bonds ($bn)]]+Table57[[#This Row],[Memberships]]+Table57[[#This Row],[Internal Carbon Price]])/4)</f>
        <v>0.125</v>
      </c>
      <c r="M187">
        <f t="shared" si="38"/>
        <v>0.36</v>
      </c>
      <c r="N187">
        <f t="shared" si="35"/>
        <v>1</v>
      </c>
      <c r="O187">
        <f t="shared" si="36"/>
        <v>0</v>
      </c>
      <c r="P187">
        <f t="shared" si="37"/>
        <v>0.5</v>
      </c>
      <c r="Q187" s="51">
        <f>((Table57[[#This Row],[Sust. Report Page '# ]]+Table57[[#This Row],[CDP Score]]+Table57[[#This Row],[Climate KPI''s]]+Table57[[#This Row],[Assurance Level]])/4)</f>
        <v>0.46499999999999997</v>
      </c>
      <c r="R187" s="51">
        <f>((Table57[[#This Row],[E1 Score]]+Table57[[#This Row],[E2 Score]]+Table57[[#This Row],[E3 Score]])/3)</f>
        <v>0.34249999999999997</v>
      </c>
    </row>
    <row r="188" spans="2:18" ht="16" x14ac:dyDescent="0.4">
      <c r="B188" s="2" t="s">
        <v>454</v>
      </c>
      <c r="C188">
        <f t="shared" si="27"/>
        <v>0.75</v>
      </c>
      <c r="D188">
        <f t="shared" si="28"/>
        <v>1</v>
      </c>
      <c r="E188">
        <f t="shared" si="29"/>
        <v>1</v>
      </c>
      <c r="F188">
        <f t="shared" si="30"/>
        <v>1</v>
      </c>
      <c r="G188" s="51">
        <f>(Table57[[#This Row],[Net Zero Commitment]]+Table57[[#This Row],[Scope Coverage]]+Table57[[#This Row],[SBTi Validation]]+Table57[[#This Row],[TPI Alignment]])/4</f>
        <v>0.9375</v>
      </c>
      <c r="H188">
        <f t="shared" si="31"/>
        <v>1</v>
      </c>
      <c r="I188">
        <f t="shared" si="32"/>
        <v>0</v>
      </c>
      <c r="J188">
        <f t="shared" si="33"/>
        <v>0</v>
      </c>
      <c r="K188">
        <f t="shared" si="34"/>
        <v>1</v>
      </c>
      <c r="L188" s="51">
        <f>((Table57[[#This Row],[Decarb CapEx]]+Table57[[#This Row],[Green Bonds ($bn)]]+Table57[[#This Row],[Memberships]]+Table57[[#This Row],[Internal Carbon Price]])/4)</f>
        <v>0.5</v>
      </c>
      <c r="M188">
        <f t="shared" si="38"/>
        <v>0.4</v>
      </c>
      <c r="N188">
        <f t="shared" si="35"/>
        <v>1</v>
      </c>
      <c r="O188">
        <f t="shared" si="36"/>
        <v>1</v>
      </c>
      <c r="P188">
        <f t="shared" si="37"/>
        <v>0.5</v>
      </c>
      <c r="Q188" s="51">
        <f>((Table57[[#This Row],[Sust. Report Page '# ]]+Table57[[#This Row],[CDP Score]]+Table57[[#This Row],[Climate KPI''s]]+Table57[[#This Row],[Assurance Level]])/4)</f>
        <v>0.72499999999999998</v>
      </c>
      <c r="R188" s="51">
        <f>((Table57[[#This Row],[E1 Score]]+Table57[[#This Row],[E2 Score]]+Table57[[#This Row],[E3 Score]])/3)</f>
        <v>0.72083333333333333</v>
      </c>
    </row>
    <row r="189" spans="2:18" ht="16" x14ac:dyDescent="0.4">
      <c r="B189" s="2" t="s">
        <v>459</v>
      </c>
      <c r="C189">
        <f t="shared" si="27"/>
        <v>0.5</v>
      </c>
      <c r="D189">
        <f t="shared" si="28"/>
        <v>0</v>
      </c>
      <c r="E189">
        <f t="shared" si="29"/>
        <v>1</v>
      </c>
      <c r="F189">
        <f t="shared" si="30"/>
        <v>0</v>
      </c>
      <c r="G189" s="51">
        <f>(Table57[[#This Row],[Net Zero Commitment]]+Table57[[#This Row],[Scope Coverage]]+Table57[[#This Row],[SBTi Validation]]+Table57[[#This Row],[TPI Alignment]])/4</f>
        <v>0.375</v>
      </c>
      <c r="H189">
        <f t="shared" si="31"/>
        <v>1</v>
      </c>
      <c r="I189">
        <f t="shared" si="32"/>
        <v>0</v>
      </c>
      <c r="J189">
        <f t="shared" si="33"/>
        <v>0.75</v>
      </c>
      <c r="K189">
        <f t="shared" si="34"/>
        <v>0</v>
      </c>
      <c r="L189" s="51">
        <f>((Table57[[#This Row],[Decarb CapEx]]+Table57[[#This Row],[Green Bonds ($bn)]]+Table57[[#This Row],[Memberships]]+Table57[[#This Row],[Internal Carbon Price]])/4)</f>
        <v>0.4375</v>
      </c>
      <c r="M189">
        <f t="shared" si="38"/>
        <v>0.72</v>
      </c>
      <c r="N189">
        <f t="shared" si="35"/>
        <v>1</v>
      </c>
      <c r="O189">
        <f t="shared" si="36"/>
        <v>0</v>
      </c>
      <c r="P189">
        <f t="shared" si="37"/>
        <v>0</v>
      </c>
      <c r="Q189" s="51">
        <f>((Table57[[#This Row],[Sust. Report Page '# ]]+Table57[[#This Row],[CDP Score]]+Table57[[#This Row],[Climate KPI''s]]+Table57[[#This Row],[Assurance Level]])/4)</f>
        <v>0.43</v>
      </c>
      <c r="R189" s="51">
        <f>((Table57[[#This Row],[E1 Score]]+Table57[[#This Row],[E2 Score]]+Table57[[#This Row],[E3 Score]])/3)</f>
        <v>0.41416666666666663</v>
      </c>
    </row>
    <row r="190" spans="2:18" ht="16" x14ac:dyDescent="0.4">
      <c r="B190" s="2" t="s">
        <v>64</v>
      </c>
      <c r="C190">
        <f t="shared" si="27"/>
        <v>0.5</v>
      </c>
      <c r="D190">
        <f t="shared" si="28"/>
        <v>1</v>
      </c>
      <c r="E190">
        <f t="shared" si="29"/>
        <v>0</v>
      </c>
      <c r="F190">
        <f t="shared" si="30"/>
        <v>0</v>
      </c>
      <c r="G190" s="51">
        <f>(Table57[[#This Row],[Net Zero Commitment]]+Table57[[#This Row],[Scope Coverage]]+Table57[[#This Row],[SBTi Validation]]+Table57[[#This Row],[TPI Alignment]])/4</f>
        <v>0.375</v>
      </c>
      <c r="H190">
        <f t="shared" si="31"/>
        <v>0</v>
      </c>
      <c r="I190">
        <f t="shared" si="32"/>
        <v>0</v>
      </c>
      <c r="J190">
        <f t="shared" si="33"/>
        <v>0</v>
      </c>
      <c r="K190">
        <f t="shared" si="34"/>
        <v>0</v>
      </c>
      <c r="L190" s="51">
        <f>((Table57[[#This Row],[Decarb CapEx]]+Table57[[#This Row],[Green Bonds ($bn)]]+Table57[[#This Row],[Memberships]]+Table57[[#This Row],[Internal Carbon Price]])/4)</f>
        <v>0</v>
      </c>
      <c r="M190">
        <f t="shared" si="38"/>
        <v>0.14000000000000001</v>
      </c>
      <c r="N190">
        <f t="shared" si="35"/>
        <v>0</v>
      </c>
      <c r="O190">
        <f t="shared" si="36"/>
        <v>0</v>
      </c>
      <c r="P190">
        <f t="shared" si="37"/>
        <v>0</v>
      </c>
      <c r="Q190" s="51">
        <f>((Table57[[#This Row],[Sust. Report Page '# ]]+Table57[[#This Row],[CDP Score]]+Table57[[#This Row],[Climate KPI''s]]+Table57[[#This Row],[Assurance Level]])/4)</f>
        <v>3.5000000000000003E-2</v>
      </c>
      <c r="R190" s="51">
        <f>((Table57[[#This Row],[E1 Score]]+Table57[[#This Row],[E2 Score]]+Table57[[#This Row],[E3 Score]])/3)</f>
        <v>0.13666666666666669</v>
      </c>
    </row>
    <row r="191" spans="2:18" ht="16" x14ac:dyDescent="0.4">
      <c r="B191" s="2" t="s">
        <v>65</v>
      </c>
      <c r="C191">
        <f t="shared" si="27"/>
        <v>1</v>
      </c>
      <c r="D191">
        <f t="shared" si="28"/>
        <v>1</v>
      </c>
      <c r="E191">
        <f t="shared" si="29"/>
        <v>0</v>
      </c>
      <c r="F191">
        <f t="shared" si="30"/>
        <v>0</v>
      </c>
      <c r="G191" s="51">
        <f>(Table57[[#This Row],[Net Zero Commitment]]+Table57[[#This Row],[Scope Coverage]]+Table57[[#This Row],[SBTi Validation]]+Table57[[#This Row],[TPI Alignment]])/4</f>
        <v>0.5</v>
      </c>
      <c r="H191">
        <f t="shared" si="31"/>
        <v>0</v>
      </c>
      <c r="I191">
        <f t="shared" si="32"/>
        <v>0</v>
      </c>
      <c r="J191">
        <f t="shared" si="33"/>
        <v>0</v>
      </c>
      <c r="K191">
        <f t="shared" si="34"/>
        <v>0</v>
      </c>
      <c r="L191" s="51">
        <f>((Table57[[#This Row],[Decarb CapEx]]+Table57[[#This Row],[Green Bonds ($bn)]]+Table57[[#This Row],[Memberships]]+Table57[[#This Row],[Internal Carbon Price]])/4)</f>
        <v>0</v>
      </c>
      <c r="M191">
        <f t="shared" si="38"/>
        <v>0.73</v>
      </c>
      <c r="N191">
        <f t="shared" si="35"/>
        <v>1</v>
      </c>
      <c r="O191">
        <f t="shared" si="36"/>
        <v>0</v>
      </c>
      <c r="P191">
        <f t="shared" si="37"/>
        <v>0.5</v>
      </c>
      <c r="Q191" s="51">
        <f>((Table57[[#This Row],[Sust. Report Page '# ]]+Table57[[#This Row],[CDP Score]]+Table57[[#This Row],[Climate KPI''s]]+Table57[[#This Row],[Assurance Level]])/4)</f>
        <v>0.5575</v>
      </c>
      <c r="R191" s="51">
        <f>((Table57[[#This Row],[E1 Score]]+Table57[[#This Row],[E2 Score]]+Table57[[#This Row],[E3 Score]])/3)</f>
        <v>0.35250000000000004</v>
      </c>
    </row>
    <row r="192" spans="2:18" ht="16" x14ac:dyDescent="0.4">
      <c r="B192" s="2" t="s">
        <v>66</v>
      </c>
      <c r="C192">
        <f t="shared" si="27"/>
        <v>0.5</v>
      </c>
      <c r="D192">
        <f t="shared" si="28"/>
        <v>1</v>
      </c>
      <c r="E192">
        <f t="shared" si="29"/>
        <v>1</v>
      </c>
      <c r="F192">
        <f t="shared" si="30"/>
        <v>0.6</v>
      </c>
      <c r="G192" s="51">
        <f>(Table57[[#This Row],[Net Zero Commitment]]+Table57[[#This Row],[Scope Coverage]]+Table57[[#This Row],[SBTi Validation]]+Table57[[#This Row],[TPI Alignment]])/4</f>
        <v>0.77500000000000002</v>
      </c>
      <c r="H192">
        <f t="shared" si="31"/>
        <v>0</v>
      </c>
      <c r="I192">
        <f t="shared" si="32"/>
        <v>1</v>
      </c>
      <c r="J192">
        <f t="shared" si="33"/>
        <v>0</v>
      </c>
      <c r="K192">
        <f t="shared" si="34"/>
        <v>1</v>
      </c>
      <c r="L192" s="51">
        <f>((Table57[[#This Row],[Decarb CapEx]]+Table57[[#This Row],[Green Bonds ($bn)]]+Table57[[#This Row],[Memberships]]+Table57[[#This Row],[Internal Carbon Price]])/4)</f>
        <v>0.5</v>
      </c>
      <c r="M192">
        <f t="shared" si="38"/>
        <v>0.23</v>
      </c>
      <c r="N192">
        <f t="shared" si="35"/>
        <v>1</v>
      </c>
      <c r="O192">
        <f t="shared" si="36"/>
        <v>1</v>
      </c>
      <c r="P192">
        <f t="shared" si="37"/>
        <v>0</v>
      </c>
      <c r="Q192" s="51">
        <f>((Table57[[#This Row],[Sust. Report Page '# ]]+Table57[[#This Row],[CDP Score]]+Table57[[#This Row],[Climate KPI''s]]+Table57[[#This Row],[Assurance Level]])/4)</f>
        <v>0.5575</v>
      </c>
      <c r="R192" s="51">
        <f>((Table57[[#This Row],[E1 Score]]+Table57[[#This Row],[E2 Score]]+Table57[[#This Row],[E3 Score]])/3)</f>
        <v>0.61083333333333334</v>
      </c>
    </row>
    <row r="193" spans="2:18" ht="16" x14ac:dyDescent="0.4">
      <c r="B193" s="2" t="s">
        <v>476</v>
      </c>
      <c r="C193">
        <f t="shared" si="27"/>
        <v>0.5</v>
      </c>
      <c r="D193">
        <f t="shared" si="28"/>
        <v>1</v>
      </c>
      <c r="E193">
        <f t="shared" si="29"/>
        <v>1</v>
      </c>
      <c r="F193">
        <f t="shared" si="30"/>
        <v>1</v>
      </c>
      <c r="G193" s="51">
        <f>(Table57[[#This Row],[Net Zero Commitment]]+Table57[[#This Row],[Scope Coverage]]+Table57[[#This Row],[SBTi Validation]]+Table57[[#This Row],[TPI Alignment]])/4</f>
        <v>0.875</v>
      </c>
      <c r="H193">
        <f t="shared" si="31"/>
        <v>1</v>
      </c>
      <c r="I193">
        <f t="shared" si="32"/>
        <v>0</v>
      </c>
      <c r="J193">
        <f t="shared" si="33"/>
        <v>0</v>
      </c>
      <c r="K193">
        <f t="shared" si="34"/>
        <v>1</v>
      </c>
      <c r="L193" s="51">
        <f>((Table57[[#This Row],[Decarb CapEx]]+Table57[[#This Row],[Green Bonds ($bn)]]+Table57[[#This Row],[Memberships]]+Table57[[#This Row],[Internal Carbon Price]])/4)</f>
        <v>0.5</v>
      </c>
      <c r="M193">
        <f t="shared" si="38"/>
        <v>0.98</v>
      </c>
      <c r="N193">
        <f t="shared" si="35"/>
        <v>0</v>
      </c>
      <c r="O193">
        <f t="shared" si="36"/>
        <v>1</v>
      </c>
      <c r="P193">
        <f t="shared" si="37"/>
        <v>0.5</v>
      </c>
      <c r="Q193" s="51">
        <f>((Table57[[#This Row],[Sust. Report Page '# ]]+Table57[[#This Row],[CDP Score]]+Table57[[#This Row],[Climate KPI''s]]+Table57[[#This Row],[Assurance Level]])/4)</f>
        <v>0.62</v>
      </c>
      <c r="R193" s="51">
        <f>((Table57[[#This Row],[E1 Score]]+Table57[[#This Row],[E2 Score]]+Table57[[#This Row],[E3 Score]])/3)</f>
        <v>0.66500000000000004</v>
      </c>
    </row>
    <row r="194" spans="2:18" ht="16" x14ac:dyDescent="0.4">
      <c r="B194" s="2" t="s">
        <v>67</v>
      </c>
      <c r="C194">
        <f t="shared" si="27"/>
        <v>0.5</v>
      </c>
      <c r="D194">
        <f t="shared" si="28"/>
        <v>1</v>
      </c>
      <c r="E194">
        <f t="shared" si="29"/>
        <v>1</v>
      </c>
      <c r="F194">
        <f t="shared" si="30"/>
        <v>0.6</v>
      </c>
      <c r="G194" s="51">
        <f>(Table57[[#This Row],[Net Zero Commitment]]+Table57[[#This Row],[Scope Coverage]]+Table57[[#This Row],[SBTi Validation]]+Table57[[#This Row],[TPI Alignment]])/4</f>
        <v>0.77500000000000002</v>
      </c>
      <c r="H194">
        <f t="shared" si="31"/>
        <v>0</v>
      </c>
      <c r="I194">
        <f t="shared" si="32"/>
        <v>0</v>
      </c>
      <c r="J194">
        <f t="shared" si="33"/>
        <v>0</v>
      </c>
      <c r="K194">
        <f t="shared" si="34"/>
        <v>0</v>
      </c>
      <c r="L194" s="51">
        <f>((Table57[[#This Row],[Decarb CapEx]]+Table57[[#This Row],[Green Bonds ($bn)]]+Table57[[#This Row],[Memberships]]+Table57[[#This Row],[Internal Carbon Price]])/4)</f>
        <v>0</v>
      </c>
      <c r="M194">
        <f t="shared" si="38"/>
        <v>0.49</v>
      </c>
      <c r="N194">
        <f t="shared" si="35"/>
        <v>0.6</v>
      </c>
      <c r="O194">
        <f t="shared" si="36"/>
        <v>0</v>
      </c>
      <c r="P194">
        <f t="shared" si="37"/>
        <v>0</v>
      </c>
      <c r="Q194" s="51">
        <f>((Table57[[#This Row],[Sust. Report Page '# ]]+Table57[[#This Row],[CDP Score]]+Table57[[#This Row],[Climate KPI''s]]+Table57[[#This Row],[Assurance Level]])/4)</f>
        <v>0.27249999999999996</v>
      </c>
      <c r="R194" s="51">
        <f>((Table57[[#This Row],[E1 Score]]+Table57[[#This Row],[E2 Score]]+Table57[[#This Row],[E3 Score]])/3)</f>
        <v>0.34916666666666663</v>
      </c>
    </row>
    <row r="195" spans="2:18" ht="16" x14ac:dyDescent="0.4">
      <c r="B195" s="2" t="s">
        <v>68</v>
      </c>
      <c r="C195">
        <f t="shared" si="27"/>
        <v>0.75</v>
      </c>
      <c r="D195">
        <f t="shared" si="28"/>
        <v>1</v>
      </c>
      <c r="E195">
        <f t="shared" si="29"/>
        <v>1</v>
      </c>
      <c r="F195">
        <f t="shared" si="30"/>
        <v>0</v>
      </c>
      <c r="G195" s="51">
        <f>(Table57[[#This Row],[Net Zero Commitment]]+Table57[[#This Row],[Scope Coverage]]+Table57[[#This Row],[SBTi Validation]]+Table57[[#This Row],[TPI Alignment]])/4</f>
        <v>0.6875</v>
      </c>
      <c r="H195">
        <f t="shared" si="31"/>
        <v>0</v>
      </c>
      <c r="I195">
        <f t="shared" si="32"/>
        <v>0</v>
      </c>
      <c r="J195">
        <f t="shared" si="33"/>
        <v>0</v>
      </c>
      <c r="K195">
        <f t="shared" si="34"/>
        <v>0</v>
      </c>
      <c r="L195" s="51">
        <f>((Table57[[#This Row],[Decarb CapEx]]+Table57[[#This Row],[Green Bonds ($bn)]]+Table57[[#This Row],[Memberships]]+Table57[[#This Row],[Internal Carbon Price]])/4)</f>
        <v>0</v>
      </c>
      <c r="M195">
        <f t="shared" si="38"/>
        <v>0.28000000000000003</v>
      </c>
      <c r="N195">
        <f t="shared" si="35"/>
        <v>0.6</v>
      </c>
      <c r="O195">
        <f t="shared" si="36"/>
        <v>0</v>
      </c>
      <c r="P195">
        <f t="shared" si="37"/>
        <v>0.5</v>
      </c>
      <c r="Q195" s="51">
        <f>((Table57[[#This Row],[Sust. Report Page '# ]]+Table57[[#This Row],[CDP Score]]+Table57[[#This Row],[Climate KPI''s]]+Table57[[#This Row],[Assurance Level]])/4)</f>
        <v>0.34499999999999997</v>
      </c>
      <c r="R195" s="51">
        <f>((Table57[[#This Row],[E1 Score]]+Table57[[#This Row],[E2 Score]]+Table57[[#This Row],[E3 Score]])/3)</f>
        <v>0.34416666666666668</v>
      </c>
    </row>
    <row r="196" spans="2:18" ht="16" x14ac:dyDescent="0.4">
      <c r="B196" s="2" t="s">
        <v>490</v>
      </c>
      <c r="C196">
        <f t="shared" si="27"/>
        <v>0.5</v>
      </c>
      <c r="D196">
        <f t="shared" si="28"/>
        <v>1</v>
      </c>
      <c r="E196">
        <f t="shared" si="29"/>
        <v>0</v>
      </c>
      <c r="F196">
        <f t="shared" si="30"/>
        <v>0</v>
      </c>
      <c r="G196" s="51">
        <f>(Table57[[#This Row],[Net Zero Commitment]]+Table57[[#This Row],[Scope Coverage]]+Table57[[#This Row],[SBTi Validation]]+Table57[[#This Row],[TPI Alignment]])/4</f>
        <v>0.375</v>
      </c>
      <c r="H196">
        <f t="shared" si="31"/>
        <v>0</v>
      </c>
      <c r="I196">
        <f t="shared" si="32"/>
        <v>0</v>
      </c>
      <c r="J196">
        <f t="shared" si="33"/>
        <v>0</v>
      </c>
      <c r="K196">
        <f t="shared" si="34"/>
        <v>0</v>
      </c>
      <c r="L196" s="51">
        <f>((Table57[[#This Row],[Decarb CapEx]]+Table57[[#This Row],[Green Bonds ($bn)]]+Table57[[#This Row],[Memberships]]+Table57[[#This Row],[Internal Carbon Price]])/4)</f>
        <v>0</v>
      </c>
      <c r="M196">
        <f t="shared" si="38"/>
        <v>0.22</v>
      </c>
      <c r="N196">
        <f t="shared" si="35"/>
        <v>1</v>
      </c>
      <c r="O196">
        <f t="shared" si="36"/>
        <v>0</v>
      </c>
      <c r="P196">
        <f t="shared" si="37"/>
        <v>0.5</v>
      </c>
      <c r="Q196" s="51">
        <f>((Table57[[#This Row],[Sust. Report Page '# ]]+Table57[[#This Row],[CDP Score]]+Table57[[#This Row],[Climate KPI''s]]+Table57[[#This Row],[Assurance Level]])/4)</f>
        <v>0.43</v>
      </c>
      <c r="R196" s="51">
        <f>((Table57[[#This Row],[E1 Score]]+Table57[[#This Row],[E2 Score]]+Table57[[#This Row],[E3 Score]])/3)</f>
        <v>0.26833333333333331</v>
      </c>
    </row>
    <row r="197" spans="2:18" ht="16" x14ac:dyDescent="0.4">
      <c r="B197" s="2" t="s">
        <v>495</v>
      </c>
      <c r="C197">
        <f t="shared" si="27"/>
        <v>0.5</v>
      </c>
      <c r="D197">
        <f t="shared" si="28"/>
        <v>1</v>
      </c>
      <c r="E197">
        <f t="shared" si="29"/>
        <v>0</v>
      </c>
      <c r="F197">
        <f t="shared" si="30"/>
        <v>1</v>
      </c>
      <c r="G197" s="51">
        <f>(Table57[[#This Row],[Net Zero Commitment]]+Table57[[#This Row],[Scope Coverage]]+Table57[[#This Row],[SBTi Validation]]+Table57[[#This Row],[TPI Alignment]])/4</f>
        <v>0.625</v>
      </c>
      <c r="H197">
        <f t="shared" si="31"/>
        <v>1</v>
      </c>
      <c r="I197">
        <f t="shared" si="32"/>
        <v>1</v>
      </c>
      <c r="J197">
        <f t="shared" si="33"/>
        <v>0</v>
      </c>
      <c r="K197">
        <f t="shared" si="34"/>
        <v>1</v>
      </c>
      <c r="L197" s="51">
        <f>((Table57[[#This Row],[Decarb CapEx]]+Table57[[#This Row],[Green Bonds ($bn)]]+Table57[[#This Row],[Memberships]]+Table57[[#This Row],[Internal Carbon Price]])/4)</f>
        <v>0.75</v>
      </c>
      <c r="M197">
        <f t="shared" si="38"/>
        <v>0.49</v>
      </c>
      <c r="N197">
        <f t="shared" si="35"/>
        <v>0</v>
      </c>
      <c r="O197">
        <f t="shared" si="36"/>
        <v>1</v>
      </c>
      <c r="P197">
        <f t="shared" si="37"/>
        <v>0.5</v>
      </c>
      <c r="Q197" s="51">
        <f>((Table57[[#This Row],[Sust. Report Page '# ]]+Table57[[#This Row],[CDP Score]]+Table57[[#This Row],[Climate KPI''s]]+Table57[[#This Row],[Assurance Level]])/4)</f>
        <v>0.4975</v>
      </c>
      <c r="R197" s="51">
        <f>((Table57[[#This Row],[E1 Score]]+Table57[[#This Row],[E2 Score]]+Table57[[#This Row],[E3 Score]])/3)</f>
        <v>0.62416666666666665</v>
      </c>
    </row>
    <row r="198" spans="2:18" ht="16" x14ac:dyDescent="0.4">
      <c r="B198" s="2" t="s">
        <v>500</v>
      </c>
      <c r="C198">
        <f t="shared" si="27"/>
        <v>0.5</v>
      </c>
      <c r="D198">
        <f t="shared" si="28"/>
        <v>0</v>
      </c>
      <c r="E198">
        <f t="shared" si="29"/>
        <v>0</v>
      </c>
      <c r="F198">
        <f t="shared" si="30"/>
        <v>0</v>
      </c>
      <c r="G198" s="51">
        <f>(Table57[[#This Row],[Net Zero Commitment]]+Table57[[#This Row],[Scope Coverage]]+Table57[[#This Row],[SBTi Validation]]+Table57[[#This Row],[TPI Alignment]])/4</f>
        <v>0.125</v>
      </c>
      <c r="H198">
        <f t="shared" si="31"/>
        <v>0</v>
      </c>
      <c r="I198">
        <f t="shared" si="32"/>
        <v>0</v>
      </c>
      <c r="J198">
        <f t="shared" si="33"/>
        <v>0</v>
      </c>
      <c r="K198">
        <f t="shared" si="34"/>
        <v>0</v>
      </c>
      <c r="L198" s="51">
        <f>((Table57[[#This Row],[Decarb CapEx]]+Table57[[#This Row],[Green Bonds ($bn)]]+Table57[[#This Row],[Memberships]]+Table57[[#This Row],[Internal Carbon Price]])/4)</f>
        <v>0</v>
      </c>
      <c r="M198">
        <f t="shared" si="38"/>
        <v>0.52</v>
      </c>
      <c r="N198">
        <f t="shared" si="35"/>
        <v>0.4</v>
      </c>
      <c r="O198">
        <f t="shared" si="36"/>
        <v>0</v>
      </c>
      <c r="P198">
        <f t="shared" si="37"/>
        <v>0</v>
      </c>
      <c r="Q198" s="51">
        <f>((Table57[[#This Row],[Sust. Report Page '# ]]+Table57[[#This Row],[CDP Score]]+Table57[[#This Row],[Climate KPI''s]]+Table57[[#This Row],[Assurance Level]])/4)</f>
        <v>0.23</v>
      </c>
      <c r="R198" s="51">
        <f>((Table57[[#This Row],[E1 Score]]+Table57[[#This Row],[E2 Score]]+Table57[[#This Row],[E3 Score]])/3)</f>
        <v>0.11833333333333333</v>
      </c>
    </row>
    <row r="199" spans="2:18" ht="16" x14ac:dyDescent="0.4">
      <c r="B199" s="2" t="s">
        <v>70</v>
      </c>
      <c r="C199">
        <f t="shared" si="27"/>
        <v>0.5</v>
      </c>
      <c r="D199">
        <f t="shared" si="28"/>
        <v>1</v>
      </c>
      <c r="E199">
        <f t="shared" si="29"/>
        <v>0</v>
      </c>
      <c r="F199">
        <f t="shared" si="30"/>
        <v>0</v>
      </c>
      <c r="G199" s="51">
        <f>(Table57[[#This Row],[Net Zero Commitment]]+Table57[[#This Row],[Scope Coverage]]+Table57[[#This Row],[SBTi Validation]]+Table57[[#This Row],[TPI Alignment]])/4</f>
        <v>0.375</v>
      </c>
      <c r="H199">
        <f t="shared" si="31"/>
        <v>0.75</v>
      </c>
      <c r="I199">
        <f t="shared" si="32"/>
        <v>1</v>
      </c>
      <c r="J199">
        <f t="shared" si="33"/>
        <v>0.75</v>
      </c>
      <c r="K199">
        <f t="shared" si="34"/>
        <v>0</v>
      </c>
      <c r="L199" s="51">
        <f>((Table57[[#This Row],[Decarb CapEx]]+Table57[[#This Row],[Green Bonds ($bn)]]+Table57[[#This Row],[Memberships]]+Table57[[#This Row],[Internal Carbon Price]])/4)</f>
        <v>0.625</v>
      </c>
      <c r="M199">
        <f t="shared" si="38"/>
        <v>0.38</v>
      </c>
      <c r="N199">
        <f t="shared" si="35"/>
        <v>1</v>
      </c>
      <c r="O199">
        <f t="shared" si="36"/>
        <v>0</v>
      </c>
      <c r="P199">
        <f t="shared" si="37"/>
        <v>0.5</v>
      </c>
      <c r="Q199" s="51">
        <f>((Table57[[#This Row],[Sust. Report Page '# ]]+Table57[[#This Row],[CDP Score]]+Table57[[#This Row],[Climate KPI''s]]+Table57[[#This Row],[Assurance Level]])/4)</f>
        <v>0.47</v>
      </c>
      <c r="R199" s="51">
        <f>((Table57[[#This Row],[E1 Score]]+Table57[[#This Row],[E2 Score]]+Table57[[#This Row],[E3 Score]])/3)</f>
        <v>0.49</v>
      </c>
    </row>
    <row r="200" spans="2:18" ht="16" x14ac:dyDescent="0.4">
      <c r="B200" s="2" t="s">
        <v>71</v>
      </c>
      <c r="C200">
        <f t="shared" si="27"/>
        <v>0.5</v>
      </c>
      <c r="D200">
        <f t="shared" si="28"/>
        <v>1</v>
      </c>
      <c r="E200">
        <f t="shared" si="29"/>
        <v>0</v>
      </c>
      <c r="F200">
        <f t="shared" si="30"/>
        <v>0</v>
      </c>
      <c r="G200" s="51">
        <f>(Table57[[#This Row],[Net Zero Commitment]]+Table57[[#This Row],[Scope Coverage]]+Table57[[#This Row],[SBTi Validation]]+Table57[[#This Row],[TPI Alignment]])/4</f>
        <v>0.375</v>
      </c>
      <c r="H200">
        <f t="shared" si="31"/>
        <v>0</v>
      </c>
      <c r="I200">
        <f t="shared" si="32"/>
        <v>0</v>
      </c>
      <c r="J200">
        <f t="shared" si="33"/>
        <v>0</v>
      </c>
      <c r="K200">
        <f t="shared" si="34"/>
        <v>0</v>
      </c>
      <c r="L200" s="51">
        <f>((Table57[[#This Row],[Decarb CapEx]]+Table57[[#This Row],[Green Bonds ($bn)]]+Table57[[#This Row],[Memberships]]+Table57[[#This Row],[Internal Carbon Price]])/4)</f>
        <v>0</v>
      </c>
      <c r="M200">
        <f t="shared" si="38"/>
        <v>0.57999999999999996</v>
      </c>
      <c r="N200">
        <f t="shared" si="35"/>
        <v>1</v>
      </c>
      <c r="O200">
        <f t="shared" si="36"/>
        <v>0</v>
      </c>
      <c r="P200">
        <f t="shared" si="37"/>
        <v>0.5</v>
      </c>
      <c r="Q200" s="51">
        <f>((Table57[[#This Row],[Sust. Report Page '# ]]+Table57[[#This Row],[CDP Score]]+Table57[[#This Row],[Climate KPI''s]]+Table57[[#This Row],[Assurance Level]])/4)</f>
        <v>0.52</v>
      </c>
      <c r="R200" s="51">
        <f>((Table57[[#This Row],[E1 Score]]+Table57[[#This Row],[E2 Score]]+Table57[[#This Row],[E3 Score]])/3)</f>
        <v>0.29833333333333334</v>
      </c>
    </row>
    <row r="201" spans="2:18" ht="16" x14ac:dyDescent="0.4">
      <c r="B201" s="2" t="s">
        <v>72</v>
      </c>
      <c r="C201">
        <f t="shared" si="27"/>
        <v>0.5</v>
      </c>
      <c r="D201">
        <f t="shared" si="28"/>
        <v>1</v>
      </c>
      <c r="E201">
        <f t="shared" si="29"/>
        <v>1</v>
      </c>
      <c r="F201">
        <f t="shared" si="30"/>
        <v>1</v>
      </c>
      <c r="G201" s="51">
        <f>(Table57[[#This Row],[Net Zero Commitment]]+Table57[[#This Row],[Scope Coverage]]+Table57[[#This Row],[SBTi Validation]]+Table57[[#This Row],[TPI Alignment]])/4</f>
        <v>0.875</v>
      </c>
      <c r="H201">
        <f t="shared" si="31"/>
        <v>1</v>
      </c>
      <c r="I201">
        <f t="shared" si="32"/>
        <v>1</v>
      </c>
      <c r="J201">
        <f t="shared" si="33"/>
        <v>0.75</v>
      </c>
      <c r="K201">
        <f t="shared" si="34"/>
        <v>1</v>
      </c>
      <c r="L201" s="51">
        <f>((Table57[[#This Row],[Decarb CapEx]]+Table57[[#This Row],[Green Bonds ($bn)]]+Table57[[#This Row],[Memberships]]+Table57[[#This Row],[Internal Carbon Price]])/4)</f>
        <v>0.9375</v>
      </c>
      <c r="M201">
        <f t="shared" si="38"/>
        <v>0.61</v>
      </c>
      <c r="N201">
        <f t="shared" si="35"/>
        <v>0.8</v>
      </c>
      <c r="O201">
        <f t="shared" si="36"/>
        <v>1</v>
      </c>
      <c r="P201">
        <f t="shared" si="37"/>
        <v>0.5</v>
      </c>
      <c r="Q201" s="51">
        <f>((Table57[[#This Row],[Sust. Report Page '# ]]+Table57[[#This Row],[CDP Score]]+Table57[[#This Row],[Climate KPI''s]]+Table57[[#This Row],[Assurance Level]])/4)</f>
        <v>0.72750000000000004</v>
      </c>
      <c r="R201" s="51">
        <f>((Table57[[#This Row],[E1 Score]]+Table57[[#This Row],[E2 Score]]+Table57[[#This Row],[E3 Score]])/3)</f>
        <v>0.84666666666666668</v>
      </c>
    </row>
    <row r="202" spans="2:18" ht="16" x14ac:dyDescent="0.4">
      <c r="B202" s="2" t="s">
        <v>73</v>
      </c>
      <c r="C202">
        <f t="shared" si="27"/>
        <v>0.5</v>
      </c>
      <c r="D202">
        <f t="shared" si="28"/>
        <v>1</v>
      </c>
      <c r="E202">
        <f t="shared" si="29"/>
        <v>1</v>
      </c>
      <c r="F202">
        <f t="shared" si="30"/>
        <v>1</v>
      </c>
      <c r="G202" s="51">
        <f>(Table57[[#This Row],[Net Zero Commitment]]+Table57[[#This Row],[Scope Coverage]]+Table57[[#This Row],[SBTi Validation]]+Table57[[#This Row],[TPI Alignment]])/4</f>
        <v>0.875</v>
      </c>
      <c r="H202">
        <f t="shared" si="31"/>
        <v>1</v>
      </c>
      <c r="I202">
        <f t="shared" si="32"/>
        <v>0</v>
      </c>
      <c r="J202">
        <f t="shared" si="33"/>
        <v>1</v>
      </c>
      <c r="K202">
        <f t="shared" si="34"/>
        <v>1</v>
      </c>
      <c r="L202" s="51">
        <f>((Table57[[#This Row],[Decarb CapEx]]+Table57[[#This Row],[Green Bonds ($bn)]]+Table57[[#This Row],[Memberships]]+Table57[[#This Row],[Internal Carbon Price]])/4)</f>
        <v>0.75</v>
      </c>
      <c r="M202">
        <f t="shared" si="38"/>
        <v>0.69</v>
      </c>
      <c r="N202">
        <f t="shared" si="35"/>
        <v>0</v>
      </c>
      <c r="O202">
        <f t="shared" si="36"/>
        <v>1</v>
      </c>
      <c r="P202">
        <f t="shared" si="37"/>
        <v>1</v>
      </c>
      <c r="Q202" s="51">
        <f>((Table57[[#This Row],[Sust. Report Page '# ]]+Table57[[#This Row],[CDP Score]]+Table57[[#This Row],[Climate KPI''s]]+Table57[[#This Row],[Assurance Level]])/4)</f>
        <v>0.67249999999999999</v>
      </c>
      <c r="R202" s="51">
        <f>((Table57[[#This Row],[E1 Score]]+Table57[[#This Row],[E2 Score]]+Table57[[#This Row],[E3 Score]])/3)</f>
        <v>0.76583333333333325</v>
      </c>
    </row>
    <row r="203" spans="2:18" ht="16" x14ac:dyDescent="0.4">
      <c r="B203" s="2" t="s">
        <v>522</v>
      </c>
      <c r="C203">
        <f t="shared" si="27"/>
        <v>1</v>
      </c>
      <c r="D203">
        <f t="shared" si="28"/>
        <v>0.5</v>
      </c>
      <c r="E203">
        <f t="shared" si="29"/>
        <v>0</v>
      </c>
      <c r="F203">
        <f t="shared" si="30"/>
        <v>0</v>
      </c>
      <c r="G203" s="51">
        <f>(Table57[[#This Row],[Net Zero Commitment]]+Table57[[#This Row],[Scope Coverage]]+Table57[[#This Row],[SBTi Validation]]+Table57[[#This Row],[TPI Alignment]])/4</f>
        <v>0.375</v>
      </c>
      <c r="H203">
        <f t="shared" si="31"/>
        <v>0</v>
      </c>
      <c r="I203">
        <f t="shared" si="32"/>
        <v>0</v>
      </c>
      <c r="J203">
        <f t="shared" si="33"/>
        <v>0</v>
      </c>
      <c r="K203">
        <f t="shared" si="34"/>
        <v>0</v>
      </c>
      <c r="L203" s="51">
        <f>((Table57[[#This Row],[Decarb CapEx]]+Table57[[#This Row],[Green Bonds ($bn)]]+Table57[[#This Row],[Memberships]]+Table57[[#This Row],[Internal Carbon Price]])/4)</f>
        <v>0</v>
      </c>
      <c r="M203">
        <f t="shared" si="38"/>
        <v>1.28</v>
      </c>
      <c r="N203">
        <f t="shared" si="35"/>
        <v>1</v>
      </c>
      <c r="O203">
        <f t="shared" si="36"/>
        <v>0</v>
      </c>
      <c r="P203">
        <f t="shared" si="37"/>
        <v>0.5</v>
      </c>
      <c r="Q203" s="51">
        <f>((Table57[[#This Row],[Sust. Report Page '# ]]+Table57[[#This Row],[CDP Score]]+Table57[[#This Row],[Climate KPI''s]]+Table57[[#This Row],[Assurance Level]])/4)</f>
        <v>0.69500000000000006</v>
      </c>
      <c r="R203" s="51">
        <f>((Table57[[#This Row],[E1 Score]]+Table57[[#This Row],[E2 Score]]+Table57[[#This Row],[E3 Score]])/3)</f>
        <v>0.35666666666666669</v>
      </c>
    </row>
    <row r="204" spans="2:18" ht="16" x14ac:dyDescent="0.4">
      <c r="B204" s="2" t="s">
        <v>528</v>
      </c>
      <c r="C204">
        <f t="shared" si="27"/>
        <v>1</v>
      </c>
      <c r="D204">
        <f t="shared" si="28"/>
        <v>1</v>
      </c>
      <c r="E204">
        <f t="shared" si="29"/>
        <v>1</v>
      </c>
      <c r="F204">
        <f t="shared" si="30"/>
        <v>1</v>
      </c>
      <c r="G204" s="51">
        <f>(Table57[[#This Row],[Net Zero Commitment]]+Table57[[#This Row],[Scope Coverage]]+Table57[[#This Row],[SBTi Validation]]+Table57[[#This Row],[TPI Alignment]])/4</f>
        <v>1</v>
      </c>
      <c r="H204">
        <f t="shared" si="31"/>
        <v>1</v>
      </c>
      <c r="I204">
        <f t="shared" si="32"/>
        <v>0</v>
      </c>
      <c r="J204">
        <f t="shared" si="33"/>
        <v>0</v>
      </c>
      <c r="K204">
        <f t="shared" si="34"/>
        <v>1</v>
      </c>
      <c r="L204" s="51">
        <f>((Table57[[#This Row],[Decarb CapEx]]+Table57[[#This Row],[Green Bonds ($bn)]]+Table57[[#This Row],[Memberships]]+Table57[[#This Row],[Internal Carbon Price]])/4)</f>
        <v>0.5</v>
      </c>
      <c r="M204">
        <f t="shared" si="38"/>
        <v>0.47</v>
      </c>
      <c r="N204">
        <f t="shared" si="35"/>
        <v>0</v>
      </c>
      <c r="O204">
        <f t="shared" si="36"/>
        <v>1</v>
      </c>
      <c r="P204">
        <f t="shared" si="37"/>
        <v>0.5</v>
      </c>
      <c r="Q204" s="51">
        <f>((Table57[[#This Row],[Sust. Report Page '# ]]+Table57[[#This Row],[CDP Score]]+Table57[[#This Row],[Climate KPI''s]]+Table57[[#This Row],[Assurance Level]])/4)</f>
        <v>0.49249999999999999</v>
      </c>
      <c r="R204" s="51">
        <f>((Table57[[#This Row],[E1 Score]]+Table57[[#This Row],[E2 Score]]+Table57[[#This Row],[E3 Score]])/3)</f>
        <v>0.66416666666666668</v>
      </c>
    </row>
    <row r="205" spans="2:18" ht="16" x14ac:dyDescent="0.4">
      <c r="B205" s="2" t="s">
        <v>74</v>
      </c>
      <c r="C205">
        <f t="shared" ref="C205:C208" si="39">IF(C101="",0,IF(C101&lt;=2030,1,IF(C101&lt;=2040,0.75,IF(C101&lt;="2050",0.5,0.2))))</f>
        <v>0.75</v>
      </c>
      <c r="D205">
        <f t="shared" ref="D205:D208" si="40">IF(D101="1+2+3",1,IF(D101="1+2",0.5,IF(D101="1",0.25,IF(D101="Unclear",0))))</f>
        <v>1</v>
      </c>
      <c r="E205">
        <f t="shared" ref="E205:E208" si="41">IF(E101="",0,IF(E101="No",0,IF(E101="Yes",1)))</f>
        <v>1</v>
      </c>
      <c r="F205">
        <f t="shared" ref="F205:F208" si="42">IF(F101=5,1,IF(F101=4,0.8,IF(F101=3,0.6,IF(F101=2,0.4,IF(F101=1,0.2,IF(F101=0,0,IF(F101="N/A",0)))))))</f>
        <v>1</v>
      </c>
      <c r="G205" s="51">
        <f>(Table57[[#This Row],[Net Zero Commitment]]+Table57[[#This Row],[Scope Coverage]]+Table57[[#This Row],[SBTi Validation]]+Table57[[#This Row],[TPI Alignment]])/4</f>
        <v>0.9375</v>
      </c>
      <c r="H205">
        <f t="shared" ref="H205:H208" si="43">IF(H101="",0,IF(H101="None",0,IF(H101="A",0.5,IF(H101="B",0.75,IF(H101="C",1)))))</f>
        <v>1</v>
      </c>
      <c r="I205">
        <f t="shared" ref="I205:I208" si="44">IF(I101="",0,IF(I101="N/A",0,IF(I101&gt;=1,1,IF(I101&gt;=0.75,0.75,IF(I101&gt;=0.5,0.5,IF(I101&gt;=0.25,0.25,IF(I101&gt;0,0.25,0)))))))</f>
        <v>0.75</v>
      </c>
      <c r="J205">
        <f t="shared" ref="J205:J208" si="45">IF(J101="",0,IF(J101="No",0,IF(J101="Yes",0.75,IF(J101="Gold",1))))</f>
        <v>0.75</v>
      </c>
      <c r="K205">
        <f t="shared" ref="K205:K208" si="46">IF(K101="",0,IF(K101="No",0,IF(K101="Yes",1)))</f>
        <v>1</v>
      </c>
      <c r="L205" s="51">
        <f>((Table57[[#This Row],[Decarb CapEx]]+Table57[[#This Row],[Green Bonds ($bn)]]+Table57[[#This Row],[Memberships]]+Table57[[#This Row],[Internal Carbon Price]])/4)</f>
        <v>0.875</v>
      </c>
      <c r="M205">
        <f t="shared" si="38"/>
        <v>0.49</v>
      </c>
      <c r="N205">
        <f t="shared" ref="N205:N208" si="47">IF(N101="",0,IF(N101="A",1,IF(N101="A-",0.8,IF(N101="B",0.6,IF(N101="C",0.4,IF(N101="D",0.2,IF(N101="F",0,IF(N101="N/A",0))))))))</f>
        <v>1</v>
      </c>
      <c r="O205">
        <f t="shared" ref="O205:O208" si="48">IF(O101="",0,IF(O101="N/A",0,IF(O101="No",0,IF(O101="Yes",1))))</f>
        <v>1</v>
      </c>
      <c r="P205">
        <f t="shared" ref="P205:P208" si="49">IF(P101="",0,IF(P101="Reasonable",1,IF(P101="Limited",0.5,IF(P101="None",0))))</f>
        <v>0.5</v>
      </c>
      <c r="Q205" s="51">
        <f>((Table57[[#This Row],[Sust. Report Page '# ]]+Table57[[#This Row],[CDP Score]]+Table57[[#This Row],[Climate KPI''s]]+Table57[[#This Row],[Assurance Level]])/4)</f>
        <v>0.74750000000000005</v>
      </c>
      <c r="R205" s="51">
        <f>((Table57[[#This Row],[E1 Score]]+Table57[[#This Row],[E2 Score]]+Table57[[#This Row],[E3 Score]])/3)</f>
        <v>0.85333333333333339</v>
      </c>
    </row>
    <row r="206" spans="2:18" ht="16" x14ac:dyDescent="0.4">
      <c r="B206" s="2" t="s">
        <v>75</v>
      </c>
      <c r="C206">
        <f t="shared" si="39"/>
        <v>0.5</v>
      </c>
      <c r="D206">
        <f t="shared" si="40"/>
        <v>1</v>
      </c>
      <c r="E206">
        <f t="shared" si="41"/>
        <v>0</v>
      </c>
      <c r="F206">
        <f t="shared" si="42"/>
        <v>0.8</v>
      </c>
      <c r="G206" s="51">
        <f>(Table57[[#This Row],[Net Zero Commitment]]+Table57[[#This Row],[Scope Coverage]]+Table57[[#This Row],[SBTi Validation]]+Table57[[#This Row],[TPI Alignment]])/4</f>
        <v>0.57499999999999996</v>
      </c>
      <c r="H206">
        <f t="shared" si="43"/>
        <v>0.75</v>
      </c>
      <c r="I206">
        <f t="shared" si="44"/>
        <v>1</v>
      </c>
      <c r="J206">
        <f t="shared" si="45"/>
        <v>0</v>
      </c>
      <c r="K206">
        <f t="shared" si="46"/>
        <v>1</v>
      </c>
      <c r="L206" s="51">
        <f>((Table57[[#This Row],[Decarb CapEx]]+Table57[[#This Row],[Green Bonds ($bn)]]+Table57[[#This Row],[Memberships]]+Table57[[#This Row],[Internal Carbon Price]])/4)</f>
        <v>0.6875</v>
      </c>
      <c r="M206">
        <f t="shared" si="38"/>
        <v>0.13</v>
      </c>
      <c r="N206">
        <f t="shared" si="47"/>
        <v>1</v>
      </c>
      <c r="O206">
        <f t="shared" si="48"/>
        <v>1</v>
      </c>
      <c r="P206">
        <f t="shared" si="49"/>
        <v>0.5</v>
      </c>
      <c r="Q206" s="51">
        <f>((Table57[[#This Row],[Sust. Report Page '# ]]+Table57[[#This Row],[CDP Score]]+Table57[[#This Row],[Climate KPI''s]]+Table57[[#This Row],[Assurance Level]])/4)</f>
        <v>0.65749999999999997</v>
      </c>
      <c r="R206" s="51">
        <f>((Table57[[#This Row],[E1 Score]]+Table57[[#This Row],[E2 Score]]+Table57[[#This Row],[E3 Score]])/3)</f>
        <v>0.64</v>
      </c>
    </row>
    <row r="207" spans="2:18" ht="16" x14ac:dyDescent="0.4">
      <c r="B207" s="2" t="s">
        <v>76</v>
      </c>
      <c r="C207">
        <f t="shared" si="39"/>
        <v>0.75</v>
      </c>
      <c r="D207">
        <f t="shared" si="40"/>
        <v>1</v>
      </c>
      <c r="E207">
        <f t="shared" si="41"/>
        <v>1</v>
      </c>
      <c r="F207">
        <f t="shared" si="42"/>
        <v>0</v>
      </c>
      <c r="G207" s="51">
        <f>(Table57[[#This Row],[Net Zero Commitment]]+Table57[[#This Row],[Scope Coverage]]+Table57[[#This Row],[SBTi Validation]]+Table57[[#This Row],[TPI Alignment]])/4</f>
        <v>0.6875</v>
      </c>
      <c r="H207">
        <f t="shared" si="43"/>
        <v>0</v>
      </c>
      <c r="I207">
        <f t="shared" si="44"/>
        <v>0.75</v>
      </c>
      <c r="J207">
        <f t="shared" si="45"/>
        <v>0</v>
      </c>
      <c r="K207">
        <f t="shared" si="46"/>
        <v>0</v>
      </c>
      <c r="L207" s="51">
        <f>((Table57[[#This Row],[Decarb CapEx]]+Table57[[#This Row],[Green Bonds ($bn)]]+Table57[[#This Row],[Memberships]]+Table57[[#This Row],[Internal Carbon Price]])/4)</f>
        <v>0.1875</v>
      </c>
      <c r="M207">
        <f t="shared" si="38"/>
        <v>0.55000000000000004</v>
      </c>
      <c r="N207">
        <f t="shared" si="47"/>
        <v>0</v>
      </c>
      <c r="O207">
        <f t="shared" si="48"/>
        <v>0</v>
      </c>
      <c r="P207">
        <f t="shared" si="49"/>
        <v>0.5</v>
      </c>
      <c r="Q207" s="51">
        <f>((Table57[[#This Row],[Sust. Report Page '# ]]+Table57[[#This Row],[CDP Score]]+Table57[[#This Row],[Climate KPI''s]]+Table57[[#This Row],[Assurance Level]])/4)</f>
        <v>0.26250000000000001</v>
      </c>
      <c r="R207" s="51">
        <f>((Table57[[#This Row],[E1 Score]]+Table57[[#This Row],[E2 Score]]+Table57[[#This Row],[E3 Score]])/3)</f>
        <v>0.37916666666666665</v>
      </c>
    </row>
    <row r="208" spans="2:18" ht="16" x14ac:dyDescent="0.4">
      <c r="B208" s="2" t="s">
        <v>77</v>
      </c>
      <c r="C208">
        <f t="shared" si="39"/>
        <v>0.75</v>
      </c>
      <c r="D208">
        <f t="shared" si="40"/>
        <v>1</v>
      </c>
      <c r="E208">
        <f t="shared" si="41"/>
        <v>1</v>
      </c>
      <c r="F208">
        <f t="shared" si="42"/>
        <v>0</v>
      </c>
      <c r="G208" s="51">
        <f>(Table57[[#This Row],[Net Zero Commitment]]+Table57[[#This Row],[Scope Coverage]]+Table57[[#This Row],[SBTi Validation]]+Table57[[#This Row],[TPI Alignment]])/4</f>
        <v>0.6875</v>
      </c>
      <c r="H208">
        <f t="shared" si="43"/>
        <v>0</v>
      </c>
      <c r="I208">
        <f t="shared" si="44"/>
        <v>0</v>
      </c>
      <c r="J208">
        <f t="shared" si="45"/>
        <v>0.75</v>
      </c>
      <c r="K208">
        <f t="shared" si="46"/>
        <v>0</v>
      </c>
      <c r="L208" s="51">
        <f>((Table57[[#This Row],[Decarb CapEx]]+Table57[[#This Row],[Green Bonds ($bn)]]+Table57[[#This Row],[Memberships]]+Table57[[#This Row],[Internal Carbon Price]])/4)</f>
        <v>0.1875</v>
      </c>
      <c r="M208">
        <f t="shared" si="38"/>
        <v>0.41</v>
      </c>
      <c r="N208">
        <f t="shared" si="47"/>
        <v>0.6</v>
      </c>
      <c r="O208">
        <f t="shared" si="48"/>
        <v>0</v>
      </c>
      <c r="P208">
        <f t="shared" si="49"/>
        <v>0.5</v>
      </c>
      <c r="Q208" s="51">
        <f>((Table57[[#This Row],[Sust. Report Page '# ]]+Table57[[#This Row],[CDP Score]]+Table57[[#This Row],[Climate KPI''s]]+Table57[[#This Row],[Assurance Level]])/4)</f>
        <v>0.3775</v>
      </c>
      <c r="R208" s="51">
        <f>((Table57[[#This Row],[E1 Score]]+Table57[[#This Row],[E2 Score]]+Table57[[#This Row],[E3 Score]])/3)</f>
        <v>0.41749999999999998</v>
      </c>
    </row>
  </sheetData>
  <mergeCells count="9">
    <mergeCell ref="B106:O106"/>
    <mergeCell ref="C107:F107"/>
    <mergeCell ref="H107:K107"/>
    <mergeCell ref="M107:O107"/>
    <mergeCell ref="U2:W2"/>
    <mergeCell ref="B2:O2"/>
    <mergeCell ref="C3:F3"/>
    <mergeCell ref="H3:K3"/>
    <mergeCell ref="M3:O3"/>
  </mergeCells>
  <conditionalFormatting sqref="Q109:Q208 L109:L208 G109:G208">
    <cfRule type="colorScale" priority="3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R109:R208">
    <cfRule type="colorScale" priority="1">
      <colorScale>
        <cfvo type="min"/>
        <cfvo type="percentile" val="50"/>
        <cfvo type="max"/>
        <color rgb="FF97FF97"/>
        <color rgb="FFFFFF81"/>
        <color rgb="FFFF8181"/>
      </colorScale>
    </cfRule>
  </conditionalFormatting>
  <hyperlinks>
    <hyperlink ref="E105" r:id="rId1" xr:uid="{DE6D4ED6-7D2F-4490-9CE2-8CBB92E22511}"/>
    <hyperlink ref="C105" r:id="rId2" xr:uid="{7AE50F6C-11C3-4C63-9382-8FB56B0AC7AC}"/>
    <hyperlink ref="D105" r:id="rId3" xr:uid="{8E70481F-172A-4C8A-9173-CA700A656627}"/>
    <hyperlink ref="F105" r:id="rId4" xr:uid="{39E4A369-6AE0-4D00-860B-A780FA912B7D}"/>
    <hyperlink ref="J105" r:id="rId5" xr:uid="{78D62A5D-8090-4290-BC62-DE820D830EBD}"/>
    <hyperlink ref="N105" r:id="rId6" xr:uid="{44AC42E5-4ABE-4B80-B707-48A50A717348}"/>
    <hyperlink ref="H105" r:id="rId7" xr:uid="{E4A39B62-34CE-47A5-AF9C-6B76F7492C08}"/>
    <hyperlink ref="K105" r:id="rId8" xr:uid="{10A0065A-D5B2-48AD-A973-2BBA5F5F582B}"/>
    <hyperlink ref="I105" r:id="rId9" display="https://www.icmagroup.org/sustainable-finance/sustainable-bonds-database/ " xr:uid="{2C424E48-8E8E-4013-9A07-602DAA145AD4}"/>
    <hyperlink ref="O105" r:id="rId10" xr:uid="{35B529C8-2CB1-404B-A54C-55A85B4F71E3}"/>
  </hyperlinks>
  <pageMargins left="0.7" right="0.7" top="0.75" bottom="0.75" header="0.3" footer="0.3"/>
  <legacyDrawing r:id="rId11"/>
  <tableParts count="2"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D856-75A3-4086-9F59-E5A95CB139EF}">
  <sheetPr>
    <tabColor theme="4"/>
  </sheetPr>
  <dimension ref="B1:T209"/>
  <sheetViews>
    <sheetView showGridLines="0" workbookViewId="0">
      <selection activeCell="B203" sqref="B203"/>
    </sheetView>
  </sheetViews>
  <sheetFormatPr defaultRowHeight="16" x14ac:dyDescent="0.4"/>
  <cols>
    <col min="1" max="1" width="4.54296875" style="1" customWidth="1"/>
    <col min="2" max="2" width="30.81640625" style="1" bestFit="1" customWidth="1"/>
    <col min="3" max="3" width="13.54296875" style="1" customWidth="1"/>
    <col min="4" max="4" width="20.08984375" style="1" customWidth="1"/>
    <col min="5" max="5" width="15" style="1" customWidth="1"/>
    <col min="6" max="6" width="24.81640625" style="1" customWidth="1"/>
    <col min="7" max="7" width="8.6328125" style="1" customWidth="1"/>
    <col min="8" max="8" width="16.1796875" style="1" bestFit="1" customWidth="1"/>
    <col min="9" max="9" width="13.26953125" style="1" customWidth="1"/>
    <col min="10" max="10" width="10.6328125" style="1" customWidth="1"/>
    <col min="11" max="11" width="8.81640625" style="1" customWidth="1"/>
    <col min="12" max="13" width="26.08984375" style="1" bestFit="1" customWidth="1"/>
    <col min="14" max="14" width="25.1796875" style="1" bestFit="1" customWidth="1"/>
    <col min="15" max="15" width="8.6328125" style="1" bestFit="1" customWidth="1"/>
    <col min="16" max="17" width="12" style="1" bestFit="1" customWidth="1"/>
    <col min="18" max="18" width="31.08984375" style="1" bestFit="1" customWidth="1"/>
    <col min="19" max="19" width="48.36328125" style="1" bestFit="1" customWidth="1"/>
    <col min="20" max="20" width="41.1796875" style="1" bestFit="1" customWidth="1"/>
    <col min="21" max="21" width="48.36328125" style="1" bestFit="1" customWidth="1"/>
    <col min="22" max="22" width="48.453125" style="1" bestFit="1" customWidth="1"/>
    <col min="23" max="23" width="8.08984375" style="1" customWidth="1"/>
    <col min="24" max="16384" width="8.7265625" style="1"/>
  </cols>
  <sheetData>
    <row r="1" spans="2:20" ht="25" customHeight="1" x14ac:dyDescent="0.4"/>
    <row r="2" spans="2:20" x14ac:dyDescent="0.4">
      <c r="B2" s="81" t="s">
        <v>691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15"/>
      <c r="Q2"/>
      <c r="R2" s="81" t="s">
        <v>1</v>
      </c>
      <c r="S2" s="81"/>
      <c r="T2" s="81"/>
    </row>
    <row r="3" spans="2:20" x14ac:dyDescent="0.4">
      <c r="B3" s="24" t="s">
        <v>679</v>
      </c>
      <c r="C3" s="81" t="s">
        <v>650</v>
      </c>
      <c r="D3" s="81"/>
      <c r="E3" s="81"/>
      <c r="F3" s="81"/>
      <c r="G3" s="15"/>
      <c r="H3" s="81" t="s">
        <v>651</v>
      </c>
      <c r="I3" s="81"/>
      <c r="J3" s="81"/>
      <c r="K3" s="81"/>
      <c r="L3" s="24" t="s">
        <v>652</v>
      </c>
      <c r="M3" s="24"/>
      <c r="N3" s="24"/>
      <c r="O3" s="15"/>
      <c r="P3" s="15"/>
      <c r="R3" s="18" t="s">
        <v>610</v>
      </c>
      <c r="S3" s="18" t="s">
        <v>639</v>
      </c>
      <c r="T3" s="18" t="s">
        <v>644</v>
      </c>
    </row>
    <row r="4" spans="2:20" x14ac:dyDescent="0.4">
      <c r="B4" s="2" t="s">
        <v>4</v>
      </c>
      <c r="C4" s="21" t="s">
        <v>752</v>
      </c>
      <c r="D4" s="22" t="s">
        <v>670</v>
      </c>
      <c r="E4" s="22" t="s">
        <v>671</v>
      </c>
      <c r="F4" s="22" t="s">
        <v>672</v>
      </c>
      <c r="G4" s="31" t="s">
        <v>715</v>
      </c>
      <c r="H4" s="22" t="s">
        <v>764</v>
      </c>
      <c r="I4" s="22" t="s">
        <v>744</v>
      </c>
      <c r="J4" s="22" t="s">
        <v>745</v>
      </c>
      <c r="K4" s="31" t="s">
        <v>713</v>
      </c>
      <c r="L4" s="22" t="s">
        <v>747</v>
      </c>
      <c r="M4" s="22" t="s">
        <v>674</v>
      </c>
      <c r="N4" s="22" t="s">
        <v>748</v>
      </c>
      <c r="O4" s="32" t="s">
        <v>714</v>
      </c>
      <c r="P4" s="32" t="s">
        <v>716</v>
      </c>
      <c r="R4" s="11"/>
      <c r="S4" s="11"/>
      <c r="T4" s="11"/>
    </row>
    <row r="5" spans="2:20" x14ac:dyDescent="0.4">
      <c r="B5" s="2" t="s">
        <v>5</v>
      </c>
      <c r="C5" s="29" t="s">
        <v>749</v>
      </c>
      <c r="D5" s="36">
        <v>0.4</v>
      </c>
      <c r="E5" s="57" t="s">
        <v>749</v>
      </c>
      <c r="F5" s="29"/>
      <c r="G5" s="37"/>
      <c r="H5" s="29">
        <v>1</v>
      </c>
      <c r="I5" s="29" t="s">
        <v>655</v>
      </c>
      <c r="J5" s="29" t="s">
        <v>655</v>
      </c>
      <c r="K5" s="37"/>
      <c r="L5" s="29" t="s">
        <v>754</v>
      </c>
      <c r="M5" s="29" t="s">
        <v>673</v>
      </c>
      <c r="N5" s="29" t="s">
        <v>655</v>
      </c>
      <c r="O5" s="37"/>
      <c r="P5" s="37"/>
      <c r="R5" s="4" t="s">
        <v>604</v>
      </c>
      <c r="S5" s="4" t="s">
        <v>626</v>
      </c>
      <c r="T5" s="4" t="s">
        <v>758</v>
      </c>
    </row>
    <row r="6" spans="2:20" x14ac:dyDescent="0.4">
      <c r="B6" s="2" t="s">
        <v>6</v>
      </c>
      <c r="C6" s="29" t="s">
        <v>749</v>
      </c>
      <c r="D6" s="36">
        <v>0.45500000000000002</v>
      </c>
      <c r="E6" s="57" t="s">
        <v>750</v>
      </c>
      <c r="F6" s="29"/>
      <c r="G6" s="37"/>
      <c r="H6" s="29" t="s">
        <v>663</v>
      </c>
      <c r="I6" s="29" t="s">
        <v>655</v>
      </c>
      <c r="J6" s="29" t="s">
        <v>655</v>
      </c>
      <c r="K6" s="37"/>
      <c r="L6" s="29" t="s">
        <v>756</v>
      </c>
      <c r="M6" s="29" t="s">
        <v>673</v>
      </c>
      <c r="N6" s="29" t="s">
        <v>673</v>
      </c>
      <c r="O6" s="37"/>
      <c r="P6" s="37"/>
      <c r="R6" s="11" t="s">
        <v>605</v>
      </c>
      <c r="S6" s="11" t="s">
        <v>627</v>
      </c>
      <c r="T6" s="11" t="s">
        <v>759</v>
      </c>
    </row>
    <row r="7" spans="2:20" x14ac:dyDescent="0.4">
      <c r="B7" s="2" t="s">
        <v>94</v>
      </c>
      <c r="C7" s="29" t="s">
        <v>750</v>
      </c>
      <c r="D7" s="36">
        <v>0.33300000000000002</v>
      </c>
      <c r="E7" s="57" t="s">
        <v>750</v>
      </c>
      <c r="F7" s="29"/>
      <c r="G7" s="37"/>
      <c r="H7" s="29" t="s">
        <v>663</v>
      </c>
      <c r="I7" s="29" t="s">
        <v>655</v>
      </c>
      <c r="J7" s="29" t="s">
        <v>655</v>
      </c>
      <c r="K7" s="37"/>
      <c r="L7" s="29" t="s">
        <v>755</v>
      </c>
      <c r="M7" s="29" t="s">
        <v>673</v>
      </c>
      <c r="N7" s="29" t="s">
        <v>655</v>
      </c>
      <c r="O7" s="37"/>
      <c r="P7" s="37"/>
      <c r="R7" s="11"/>
      <c r="S7" s="11" t="s">
        <v>628</v>
      </c>
      <c r="T7" s="11" t="s">
        <v>760</v>
      </c>
    </row>
    <row r="8" spans="2:20" x14ac:dyDescent="0.4">
      <c r="B8" s="2" t="s">
        <v>7</v>
      </c>
      <c r="C8" s="29" t="s">
        <v>693</v>
      </c>
      <c r="D8" s="36">
        <v>0</v>
      </c>
      <c r="E8" s="57" t="s">
        <v>749</v>
      </c>
      <c r="F8" s="29"/>
      <c r="G8" s="37"/>
      <c r="H8" s="29" t="s">
        <v>663</v>
      </c>
      <c r="I8" s="29" t="s">
        <v>655</v>
      </c>
      <c r="J8" s="29" t="s">
        <v>655</v>
      </c>
      <c r="K8" s="37"/>
      <c r="L8" s="29" t="s">
        <v>756</v>
      </c>
      <c r="M8" s="29" t="s">
        <v>673</v>
      </c>
      <c r="N8" s="29" t="s">
        <v>655</v>
      </c>
      <c r="O8" s="37"/>
      <c r="P8" s="37"/>
      <c r="R8" s="11" t="s">
        <v>625</v>
      </c>
      <c r="S8" s="11" t="s">
        <v>629</v>
      </c>
      <c r="T8" s="11" t="s">
        <v>761</v>
      </c>
    </row>
    <row r="9" spans="2:20" x14ac:dyDescent="0.4">
      <c r="B9" s="2" t="s">
        <v>8</v>
      </c>
      <c r="C9" s="29" t="s">
        <v>749</v>
      </c>
      <c r="D9" s="36">
        <v>0.45500000000000002</v>
      </c>
      <c r="E9" s="57" t="s">
        <v>749</v>
      </c>
      <c r="F9" s="29"/>
      <c r="G9" s="37"/>
      <c r="H9" s="29" t="s">
        <v>663</v>
      </c>
      <c r="I9" s="29" t="s">
        <v>673</v>
      </c>
      <c r="J9" s="29" t="s">
        <v>655</v>
      </c>
      <c r="K9" s="37"/>
      <c r="L9" s="29" t="s">
        <v>756</v>
      </c>
      <c r="M9" s="29" t="s">
        <v>673</v>
      </c>
      <c r="N9" s="29" t="s">
        <v>655</v>
      </c>
      <c r="O9" s="37"/>
      <c r="P9" s="37"/>
      <c r="R9" s="11" t="s">
        <v>624</v>
      </c>
      <c r="S9" s="11" t="s">
        <v>630</v>
      </c>
      <c r="T9" s="11"/>
    </row>
    <row r="10" spans="2:20" x14ac:dyDescent="0.4">
      <c r="B10" s="2" t="s">
        <v>9</v>
      </c>
      <c r="C10" s="29" t="s">
        <v>749</v>
      </c>
      <c r="D10" s="36">
        <v>0.308</v>
      </c>
      <c r="E10" s="29" t="s">
        <v>750</v>
      </c>
      <c r="F10" s="29"/>
      <c r="G10" s="37"/>
      <c r="H10" s="29" t="s">
        <v>663</v>
      </c>
      <c r="I10" s="29" t="s">
        <v>655</v>
      </c>
      <c r="J10" s="29" t="s">
        <v>655</v>
      </c>
      <c r="K10" s="37"/>
      <c r="L10" s="29" t="s">
        <v>755</v>
      </c>
      <c r="M10" s="29" t="s">
        <v>673</v>
      </c>
      <c r="N10" s="29" t="s">
        <v>655</v>
      </c>
      <c r="O10" s="62"/>
      <c r="P10" s="62"/>
      <c r="R10" s="11" t="s">
        <v>623</v>
      </c>
      <c r="S10" s="11" t="s">
        <v>631</v>
      </c>
      <c r="T10" s="4" t="s">
        <v>641</v>
      </c>
    </row>
    <row r="11" spans="2:20" x14ac:dyDescent="0.4">
      <c r="B11" s="2" t="s">
        <v>10</v>
      </c>
      <c r="C11" s="29" t="s">
        <v>749</v>
      </c>
      <c r="D11" s="36">
        <v>0.222</v>
      </c>
      <c r="E11" s="57" t="s">
        <v>750</v>
      </c>
      <c r="F11" s="29"/>
      <c r="G11" s="37"/>
      <c r="H11" s="29" t="s">
        <v>663</v>
      </c>
      <c r="I11" s="29" t="s">
        <v>655</v>
      </c>
      <c r="J11" s="29" t="s">
        <v>655</v>
      </c>
      <c r="K11" s="37"/>
      <c r="L11" s="29" t="s">
        <v>756</v>
      </c>
      <c r="M11" s="29" t="s">
        <v>673</v>
      </c>
      <c r="N11" s="29" t="s">
        <v>655</v>
      </c>
      <c r="O11" s="62"/>
      <c r="P11" s="62"/>
      <c r="R11" s="11" t="s">
        <v>622</v>
      </c>
      <c r="S11" s="11"/>
      <c r="T11" s="11" t="s">
        <v>646</v>
      </c>
    </row>
    <row r="12" spans="2:20" x14ac:dyDescent="0.4">
      <c r="B12" s="2" t="s">
        <v>11</v>
      </c>
      <c r="C12" s="29" t="s">
        <v>749</v>
      </c>
      <c r="D12" s="36">
        <v>0.6</v>
      </c>
      <c r="E12" s="57" t="s">
        <v>750</v>
      </c>
      <c r="F12" s="29"/>
      <c r="G12" s="37"/>
      <c r="H12" s="29" t="s">
        <v>663</v>
      </c>
      <c r="I12" s="29" t="s">
        <v>655</v>
      </c>
      <c r="J12" s="29" t="s">
        <v>673</v>
      </c>
      <c r="K12" s="37"/>
      <c r="L12" s="29" t="s">
        <v>755</v>
      </c>
      <c r="M12" s="29" t="s">
        <v>673</v>
      </c>
      <c r="N12" s="29" t="s">
        <v>655</v>
      </c>
      <c r="O12" s="62"/>
      <c r="P12" s="62"/>
      <c r="R12" s="11"/>
      <c r="S12" s="12" t="s">
        <v>632</v>
      </c>
      <c r="T12" s="11" t="s">
        <v>645</v>
      </c>
    </row>
    <row r="13" spans="2:20" x14ac:dyDescent="0.4">
      <c r="B13" s="2" t="s">
        <v>12</v>
      </c>
      <c r="C13" s="29" t="s">
        <v>749</v>
      </c>
      <c r="D13" s="36">
        <v>0.5</v>
      </c>
      <c r="E13" s="57" t="s">
        <v>750</v>
      </c>
      <c r="F13" s="29"/>
      <c r="G13" s="37"/>
      <c r="H13" s="29">
        <v>1</v>
      </c>
      <c r="I13" s="29" t="s">
        <v>673</v>
      </c>
      <c r="J13" s="29" t="s">
        <v>673</v>
      </c>
      <c r="K13" s="37"/>
      <c r="L13" s="29" t="s">
        <v>754</v>
      </c>
      <c r="M13" s="29" t="s">
        <v>673</v>
      </c>
      <c r="N13" s="29" t="s">
        <v>655</v>
      </c>
      <c r="O13" s="62"/>
      <c r="P13" s="62"/>
      <c r="R13" s="4" t="s">
        <v>606</v>
      </c>
      <c r="S13" s="11"/>
      <c r="T13" s="11" t="s">
        <v>584</v>
      </c>
    </row>
    <row r="14" spans="2:20" x14ac:dyDescent="0.4">
      <c r="B14" s="2" t="s">
        <v>13</v>
      </c>
      <c r="C14" s="29" t="s">
        <v>749</v>
      </c>
      <c r="D14" s="36">
        <v>0.55600000000000005</v>
      </c>
      <c r="E14" s="57" t="s">
        <v>749</v>
      </c>
      <c r="F14" s="29"/>
      <c r="G14" s="37"/>
      <c r="H14" s="29" t="s">
        <v>663</v>
      </c>
      <c r="I14" s="29" t="s">
        <v>655</v>
      </c>
      <c r="J14" s="29" t="s">
        <v>655</v>
      </c>
      <c r="K14" s="37"/>
      <c r="L14" s="29" t="s">
        <v>754</v>
      </c>
      <c r="M14" s="29" t="s">
        <v>673</v>
      </c>
      <c r="N14" s="29" t="s">
        <v>673</v>
      </c>
      <c r="O14" s="37"/>
      <c r="P14" s="37"/>
      <c r="R14" s="11" t="s">
        <v>607</v>
      </c>
      <c r="S14" s="4" t="s">
        <v>757</v>
      </c>
      <c r="T14" s="11"/>
    </row>
    <row r="15" spans="2:20" x14ac:dyDescent="0.4">
      <c r="B15" s="2" t="s">
        <v>14</v>
      </c>
      <c r="C15" s="29" t="s">
        <v>749</v>
      </c>
      <c r="D15" s="36">
        <v>0.46200000000000002</v>
      </c>
      <c r="E15" s="57" t="s">
        <v>749</v>
      </c>
      <c r="F15" s="29"/>
      <c r="G15" s="37"/>
      <c r="H15" s="29" t="s">
        <v>663</v>
      </c>
      <c r="I15" s="29" t="s">
        <v>655</v>
      </c>
      <c r="J15" s="29" t="s">
        <v>655</v>
      </c>
      <c r="K15" s="37"/>
      <c r="L15" s="29" t="s">
        <v>754</v>
      </c>
      <c r="M15" s="29" t="s">
        <v>673</v>
      </c>
      <c r="N15" s="29" t="s">
        <v>673</v>
      </c>
      <c r="O15" s="37"/>
      <c r="P15" s="37"/>
      <c r="R15" s="11" t="s">
        <v>621</v>
      </c>
      <c r="S15" s="11" t="s">
        <v>637</v>
      </c>
      <c r="T15" s="4" t="s">
        <v>762</v>
      </c>
    </row>
    <row r="16" spans="2:20" x14ac:dyDescent="0.4">
      <c r="B16" s="2" t="s">
        <v>139</v>
      </c>
      <c r="C16" s="29" t="s">
        <v>749</v>
      </c>
      <c r="D16" s="36">
        <v>0.4</v>
      </c>
      <c r="E16" s="57" t="s">
        <v>749</v>
      </c>
      <c r="F16" s="29"/>
      <c r="G16" s="37"/>
      <c r="H16" s="29" t="s">
        <v>663</v>
      </c>
      <c r="I16" s="29" t="s">
        <v>655</v>
      </c>
      <c r="J16" s="29" t="s">
        <v>655</v>
      </c>
      <c r="K16" s="37"/>
      <c r="L16" s="29" t="s">
        <v>756</v>
      </c>
      <c r="M16" s="29" t="s">
        <v>673</v>
      </c>
      <c r="N16" s="29" t="s">
        <v>655</v>
      </c>
      <c r="O16" s="37"/>
      <c r="P16" s="37"/>
      <c r="R16" s="11" t="s">
        <v>618</v>
      </c>
      <c r="S16" s="11" t="s">
        <v>638</v>
      </c>
      <c r="T16" s="11" t="s">
        <v>763</v>
      </c>
    </row>
    <row r="17" spans="2:20" x14ac:dyDescent="0.4">
      <c r="B17" s="2" t="s">
        <v>15</v>
      </c>
      <c r="C17" s="29" t="s">
        <v>749</v>
      </c>
      <c r="D17" s="36">
        <v>0.41699999999999998</v>
      </c>
      <c r="E17" s="57" t="s">
        <v>750</v>
      </c>
      <c r="F17" s="29"/>
      <c r="G17" s="37"/>
      <c r="H17" s="29" t="s">
        <v>663</v>
      </c>
      <c r="I17" s="29" t="s">
        <v>673</v>
      </c>
      <c r="J17" s="29" t="s">
        <v>655</v>
      </c>
      <c r="K17" s="37"/>
      <c r="L17" s="29" t="s">
        <v>754</v>
      </c>
      <c r="M17" s="29" t="s">
        <v>673</v>
      </c>
      <c r="N17" s="29" t="s">
        <v>655</v>
      </c>
      <c r="O17" s="37"/>
      <c r="P17" s="37"/>
      <c r="R17" s="11" t="s">
        <v>619</v>
      </c>
      <c r="S17" s="11"/>
      <c r="T17" s="11"/>
    </row>
    <row r="18" spans="2:20" x14ac:dyDescent="0.4">
      <c r="B18" s="2" t="s">
        <v>16</v>
      </c>
      <c r="C18" s="29" t="s">
        <v>749</v>
      </c>
      <c r="D18" s="36">
        <v>0.46200000000000002</v>
      </c>
      <c r="E18" s="57" t="s">
        <v>749</v>
      </c>
      <c r="F18" s="29"/>
      <c r="G18" s="37"/>
      <c r="H18" s="29">
        <v>1</v>
      </c>
      <c r="I18" s="29" t="s">
        <v>655</v>
      </c>
      <c r="J18" s="29" t="s">
        <v>655</v>
      </c>
      <c r="K18" s="37"/>
      <c r="L18" s="29" t="s">
        <v>754</v>
      </c>
      <c r="M18" s="29" t="s">
        <v>673</v>
      </c>
      <c r="N18" s="29" t="s">
        <v>673</v>
      </c>
      <c r="O18" s="37"/>
      <c r="P18" s="37"/>
      <c r="R18" s="11" t="s">
        <v>620</v>
      </c>
      <c r="S18" s="11"/>
      <c r="T18" s="11"/>
    </row>
    <row r="19" spans="2:20" x14ac:dyDescent="0.4">
      <c r="B19" s="2" t="s">
        <v>17</v>
      </c>
      <c r="C19" s="29" t="s">
        <v>749</v>
      </c>
      <c r="D19" s="36">
        <v>0.5</v>
      </c>
      <c r="E19" s="57" t="s">
        <v>750</v>
      </c>
      <c r="F19" s="29"/>
      <c r="G19" s="37"/>
      <c r="H19" s="29" t="s">
        <v>663</v>
      </c>
      <c r="I19" s="29" t="s">
        <v>655</v>
      </c>
      <c r="J19" s="29" t="s">
        <v>655</v>
      </c>
      <c r="K19" s="37"/>
      <c r="L19" s="29" t="s">
        <v>755</v>
      </c>
      <c r="M19" s="29" t="s">
        <v>673</v>
      </c>
      <c r="N19" s="29" t="s">
        <v>673</v>
      </c>
      <c r="O19" s="37"/>
      <c r="P19" s="37"/>
      <c r="R19" s="11"/>
      <c r="S19" s="11"/>
      <c r="T19" s="11"/>
    </row>
    <row r="20" spans="2:20" x14ac:dyDescent="0.4">
      <c r="B20" s="2" t="s">
        <v>18</v>
      </c>
      <c r="C20" s="29" t="s">
        <v>749</v>
      </c>
      <c r="D20" s="36">
        <v>0.45500000000000002</v>
      </c>
      <c r="E20" s="57" t="s">
        <v>749</v>
      </c>
      <c r="F20" s="29"/>
      <c r="G20" s="37"/>
      <c r="H20" s="29" t="s">
        <v>663</v>
      </c>
      <c r="I20" s="29" t="s">
        <v>655</v>
      </c>
      <c r="J20" s="29" t="s">
        <v>655</v>
      </c>
      <c r="K20" s="37"/>
      <c r="L20" s="29" t="s">
        <v>754</v>
      </c>
      <c r="M20" s="29" t="s">
        <v>673</v>
      </c>
      <c r="N20" s="29" t="s">
        <v>673</v>
      </c>
      <c r="O20" s="37"/>
      <c r="P20" s="37"/>
      <c r="R20" s="11" t="s">
        <v>672</v>
      </c>
      <c r="S20" s="11"/>
      <c r="T20" s="11"/>
    </row>
    <row r="21" spans="2:20" x14ac:dyDescent="0.4">
      <c r="B21" s="2" t="s">
        <v>163</v>
      </c>
      <c r="C21" s="29" t="s">
        <v>749</v>
      </c>
      <c r="D21" s="36">
        <v>0.44400000000000001</v>
      </c>
      <c r="E21" s="57" t="s">
        <v>750</v>
      </c>
      <c r="F21" s="29"/>
      <c r="G21" s="37"/>
      <c r="H21" s="29" t="s">
        <v>663</v>
      </c>
      <c r="I21" s="29" t="s">
        <v>655</v>
      </c>
      <c r="J21" s="29" t="s">
        <v>655</v>
      </c>
      <c r="K21" s="37"/>
      <c r="L21" s="29" t="s">
        <v>755</v>
      </c>
      <c r="M21" s="29" t="s">
        <v>673</v>
      </c>
      <c r="N21" s="29" t="s">
        <v>673</v>
      </c>
      <c r="O21" s="37"/>
      <c r="P21" s="37"/>
      <c r="R21" s="11" t="s">
        <v>617</v>
      </c>
      <c r="S21" s="11"/>
      <c r="T21" s="11"/>
    </row>
    <row r="22" spans="2:20" x14ac:dyDescent="0.4">
      <c r="B22" s="2" t="s">
        <v>19</v>
      </c>
      <c r="C22" s="29" t="s">
        <v>749</v>
      </c>
      <c r="D22" s="36">
        <v>0.38500000000000001</v>
      </c>
      <c r="E22" s="57" t="s">
        <v>750</v>
      </c>
      <c r="F22" s="29"/>
      <c r="G22" s="37"/>
      <c r="H22" s="29" t="s">
        <v>663</v>
      </c>
      <c r="I22" s="29" t="s">
        <v>655</v>
      </c>
      <c r="J22" s="29" t="s">
        <v>655</v>
      </c>
      <c r="K22" s="37"/>
      <c r="L22" s="29" t="s">
        <v>754</v>
      </c>
      <c r="M22" s="29" t="s">
        <v>673</v>
      </c>
      <c r="N22" s="29" t="s">
        <v>655</v>
      </c>
      <c r="O22" s="37"/>
      <c r="P22" s="37"/>
      <c r="R22" s="11" t="s">
        <v>614</v>
      </c>
      <c r="S22" s="11"/>
      <c r="T22" s="11"/>
    </row>
    <row r="23" spans="2:20" x14ac:dyDescent="0.4">
      <c r="B23" s="2" t="s">
        <v>20</v>
      </c>
      <c r="C23" s="29" t="s">
        <v>749</v>
      </c>
      <c r="D23" s="36">
        <v>0.5</v>
      </c>
      <c r="E23" s="57" t="s">
        <v>749</v>
      </c>
      <c r="F23" s="29"/>
      <c r="G23" s="37"/>
      <c r="H23" s="29" t="s">
        <v>663</v>
      </c>
      <c r="I23" s="29" t="s">
        <v>673</v>
      </c>
      <c r="J23" s="29" t="s">
        <v>673</v>
      </c>
      <c r="K23" s="37"/>
      <c r="L23" s="29" t="s">
        <v>754</v>
      </c>
      <c r="M23" s="29" t="s">
        <v>673</v>
      </c>
      <c r="N23" s="29" t="s">
        <v>655</v>
      </c>
      <c r="O23" s="37"/>
      <c r="P23" s="37"/>
      <c r="R23" s="11" t="s">
        <v>615</v>
      </c>
      <c r="S23" s="11"/>
      <c r="T23" s="11"/>
    </row>
    <row r="24" spans="2:20" x14ac:dyDescent="0.4">
      <c r="B24" s="2" t="s">
        <v>21</v>
      </c>
      <c r="C24" s="29" t="s">
        <v>749</v>
      </c>
      <c r="D24" s="36">
        <v>0.5</v>
      </c>
      <c r="E24" s="57" t="s">
        <v>749</v>
      </c>
      <c r="F24" s="29"/>
      <c r="G24" s="37"/>
      <c r="H24" s="29">
        <v>1</v>
      </c>
      <c r="I24" s="29" t="s">
        <v>655</v>
      </c>
      <c r="J24" s="29" t="s">
        <v>655</v>
      </c>
      <c r="K24" s="37"/>
      <c r="L24" s="29" t="s">
        <v>756</v>
      </c>
      <c r="M24" s="29" t="s">
        <v>673</v>
      </c>
      <c r="N24" s="29" t="s">
        <v>673</v>
      </c>
      <c r="O24" s="37"/>
      <c r="P24" s="37"/>
      <c r="R24" s="11" t="s">
        <v>616</v>
      </c>
      <c r="S24" s="11"/>
      <c r="T24" s="11"/>
    </row>
    <row r="25" spans="2:20" x14ac:dyDescent="0.4">
      <c r="B25" s="2" t="s">
        <v>22</v>
      </c>
      <c r="C25" s="29" t="s">
        <v>750</v>
      </c>
      <c r="D25" s="36">
        <v>0.35699999999999998</v>
      </c>
      <c r="E25" s="57" t="s">
        <v>749</v>
      </c>
      <c r="F25" s="29"/>
      <c r="G25" s="37"/>
      <c r="H25" s="29" t="s">
        <v>663</v>
      </c>
      <c r="I25" s="29" t="s">
        <v>655</v>
      </c>
      <c r="J25" s="29" t="s">
        <v>655</v>
      </c>
      <c r="K25" s="37"/>
      <c r="L25" s="29" t="s">
        <v>756</v>
      </c>
      <c r="M25" s="29" t="s">
        <v>673</v>
      </c>
      <c r="N25" s="29" t="s">
        <v>673</v>
      </c>
      <c r="O25" s="37"/>
      <c r="P25" s="37"/>
      <c r="R25" s="11"/>
      <c r="S25" s="11"/>
      <c r="T25" s="11"/>
    </row>
    <row r="26" spans="2:20" x14ac:dyDescent="0.4">
      <c r="B26" s="2" t="s">
        <v>23</v>
      </c>
      <c r="C26" s="29" t="s">
        <v>749</v>
      </c>
      <c r="D26" s="36">
        <v>0.55600000000000005</v>
      </c>
      <c r="E26" s="57" t="s">
        <v>750</v>
      </c>
      <c r="F26" s="29"/>
      <c r="G26" s="37"/>
      <c r="H26" s="29" t="s">
        <v>663</v>
      </c>
      <c r="I26" s="29" t="s">
        <v>655</v>
      </c>
      <c r="J26" s="29" t="s">
        <v>655</v>
      </c>
      <c r="K26" s="37"/>
      <c r="L26" s="29" t="s">
        <v>755</v>
      </c>
      <c r="M26" s="29" t="s">
        <v>673</v>
      </c>
      <c r="N26" s="29" t="s">
        <v>655</v>
      </c>
      <c r="O26" s="37"/>
      <c r="P26" s="37"/>
      <c r="R26" s="4" t="s">
        <v>609</v>
      </c>
      <c r="S26" s="11"/>
      <c r="T26" s="11"/>
    </row>
    <row r="27" spans="2:20" x14ac:dyDescent="0.4">
      <c r="B27" s="2" t="s">
        <v>190</v>
      </c>
      <c r="C27" s="29" t="s">
        <v>749</v>
      </c>
      <c r="D27" s="36">
        <v>0.55600000000000005</v>
      </c>
      <c r="E27" s="57" t="s">
        <v>749</v>
      </c>
      <c r="F27" s="29"/>
      <c r="G27" s="37"/>
      <c r="H27" s="29">
        <v>1</v>
      </c>
      <c r="I27" s="29" t="s">
        <v>673</v>
      </c>
      <c r="J27" s="29" t="s">
        <v>673</v>
      </c>
      <c r="K27" s="37"/>
      <c r="L27" s="29" t="s">
        <v>754</v>
      </c>
      <c r="M27" s="29" t="s">
        <v>673</v>
      </c>
      <c r="N27" s="29" t="s">
        <v>673</v>
      </c>
      <c r="O27" s="37"/>
      <c r="P27" s="37"/>
      <c r="R27" s="11" t="s">
        <v>611</v>
      </c>
      <c r="S27" s="11"/>
      <c r="T27" s="11"/>
    </row>
    <row r="28" spans="2:20" x14ac:dyDescent="0.4">
      <c r="B28" s="2" t="s">
        <v>24</v>
      </c>
      <c r="C28" s="29" t="s">
        <v>749</v>
      </c>
      <c r="D28" s="36">
        <v>0.46200000000000002</v>
      </c>
      <c r="E28" s="57" t="s">
        <v>749</v>
      </c>
      <c r="F28" s="29"/>
      <c r="G28" s="37"/>
      <c r="H28" s="29" t="s">
        <v>663</v>
      </c>
      <c r="I28" s="29" t="s">
        <v>655</v>
      </c>
      <c r="J28" s="29" t="s">
        <v>673</v>
      </c>
      <c r="K28" s="37"/>
      <c r="L28" s="29" t="s">
        <v>756</v>
      </c>
      <c r="M28" s="29" t="s">
        <v>673</v>
      </c>
      <c r="N28" s="29" t="s">
        <v>673</v>
      </c>
      <c r="O28" s="37"/>
      <c r="P28" s="37"/>
      <c r="R28" s="11" t="s">
        <v>612</v>
      </c>
      <c r="S28" s="11"/>
      <c r="T28" s="11"/>
    </row>
    <row r="29" spans="2:20" x14ac:dyDescent="0.4">
      <c r="B29" s="2" t="s">
        <v>201</v>
      </c>
      <c r="C29" s="29" t="s">
        <v>749</v>
      </c>
      <c r="D29" s="36">
        <v>0.27800000000000002</v>
      </c>
      <c r="E29" s="57" t="s">
        <v>750</v>
      </c>
      <c r="F29" s="29"/>
      <c r="G29" s="37"/>
      <c r="H29" s="29" t="s">
        <v>663</v>
      </c>
      <c r="I29" s="29" t="s">
        <v>673</v>
      </c>
      <c r="J29" s="29" t="s">
        <v>655</v>
      </c>
      <c r="K29" s="37"/>
      <c r="L29" s="29" t="s">
        <v>756</v>
      </c>
      <c r="M29" s="29" t="s">
        <v>673</v>
      </c>
      <c r="N29" s="29" t="s">
        <v>655</v>
      </c>
      <c r="O29" s="37"/>
      <c r="P29" s="37"/>
      <c r="R29" s="11" t="s">
        <v>613</v>
      </c>
      <c r="S29" s="11"/>
      <c r="T29" s="11"/>
    </row>
    <row r="30" spans="2:20" x14ac:dyDescent="0.4">
      <c r="B30" s="2" t="s">
        <v>25</v>
      </c>
      <c r="C30" s="29" t="s">
        <v>749</v>
      </c>
      <c r="D30" s="36">
        <v>0.41699999999999998</v>
      </c>
      <c r="E30" s="57" t="s">
        <v>749</v>
      </c>
      <c r="F30" s="29"/>
      <c r="G30" s="37"/>
      <c r="H30" s="29" t="s">
        <v>663</v>
      </c>
      <c r="I30" s="29" t="s">
        <v>655</v>
      </c>
      <c r="J30" s="29" t="s">
        <v>655</v>
      </c>
      <c r="K30" s="37"/>
      <c r="L30" s="29" t="s">
        <v>756</v>
      </c>
      <c r="M30" s="29" t="s">
        <v>673</v>
      </c>
      <c r="N30" s="29" t="s">
        <v>673</v>
      </c>
      <c r="O30" s="37"/>
      <c r="P30" s="37"/>
      <c r="T30"/>
    </row>
    <row r="31" spans="2:20" x14ac:dyDescent="0.4">
      <c r="B31" s="2" t="s">
        <v>211</v>
      </c>
      <c r="C31" s="29" t="s">
        <v>749</v>
      </c>
      <c r="D31" s="36">
        <v>0.55600000000000005</v>
      </c>
      <c r="E31" s="57" t="s">
        <v>750</v>
      </c>
      <c r="F31" s="29"/>
      <c r="G31" s="37"/>
      <c r="H31" s="29" t="s">
        <v>663</v>
      </c>
      <c r="I31" s="29" t="s">
        <v>655</v>
      </c>
      <c r="J31" s="29" t="s">
        <v>673</v>
      </c>
      <c r="K31" s="37"/>
      <c r="L31" s="29" t="s">
        <v>756</v>
      </c>
      <c r="M31" s="29" t="s">
        <v>673</v>
      </c>
      <c r="N31" s="29" t="s">
        <v>655</v>
      </c>
      <c r="O31" s="37"/>
      <c r="P31" s="37"/>
    </row>
    <row r="32" spans="2:20" x14ac:dyDescent="0.4">
      <c r="B32" s="2" t="s">
        <v>217</v>
      </c>
      <c r="C32" s="29" t="s">
        <v>749</v>
      </c>
      <c r="D32" s="36">
        <v>0.33300000000000002</v>
      </c>
      <c r="E32" s="57" t="s">
        <v>750</v>
      </c>
      <c r="F32" s="29"/>
      <c r="G32" s="37"/>
      <c r="H32" s="29" t="s">
        <v>663</v>
      </c>
      <c r="I32" s="29" t="s">
        <v>655</v>
      </c>
      <c r="J32" s="29" t="s">
        <v>655</v>
      </c>
      <c r="K32" s="37"/>
      <c r="L32" s="29" t="s">
        <v>756</v>
      </c>
      <c r="M32" s="29" t="s">
        <v>673</v>
      </c>
      <c r="N32" s="29" t="s">
        <v>673</v>
      </c>
      <c r="O32" s="37"/>
      <c r="P32" s="37"/>
    </row>
    <row r="33" spans="2:16" x14ac:dyDescent="0.4">
      <c r="B33" s="2" t="s">
        <v>223</v>
      </c>
      <c r="C33" s="29" t="s">
        <v>749</v>
      </c>
      <c r="D33" s="36">
        <v>0.36399999999999999</v>
      </c>
      <c r="E33" s="57" t="s">
        <v>750</v>
      </c>
      <c r="F33" s="29"/>
      <c r="G33" s="37"/>
      <c r="H33" s="29" t="s">
        <v>663</v>
      </c>
      <c r="I33" s="29" t="s">
        <v>655</v>
      </c>
      <c r="J33" s="29" t="s">
        <v>655</v>
      </c>
      <c r="K33" s="37"/>
      <c r="L33" s="29" t="s">
        <v>755</v>
      </c>
      <c r="M33" s="29" t="s">
        <v>673</v>
      </c>
      <c r="N33" s="29" t="s">
        <v>655</v>
      </c>
      <c r="O33" s="37"/>
      <c r="P33" s="37"/>
    </row>
    <row r="34" spans="2:16" x14ac:dyDescent="0.4">
      <c r="B34" s="2" t="s">
        <v>27</v>
      </c>
      <c r="C34" s="29" t="s">
        <v>749</v>
      </c>
      <c r="D34" s="36">
        <v>0.77800000000000002</v>
      </c>
      <c r="E34" s="57" t="s">
        <v>749</v>
      </c>
      <c r="F34" s="29"/>
      <c r="G34" s="37"/>
      <c r="H34" s="29" t="s">
        <v>663</v>
      </c>
      <c r="I34" s="29" t="s">
        <v>673</v>
      </c>
      <c r="J34" s="29" t="s">
        <v>655</v>
      </c>
      <c r="K34" s="37"/>
      <c r="L34" s="29" t="s">
        <v>754</v>
      </c>
      <c r="M34" s="29" t="s">
        <v>673</v>
      </c>
      <c r="N34" s="29" t="s">
        <v>655</v>
      </c>
      <c r="O34" s="37"/>
      <c r="P34" s="37"/>
    </row>
    <row r="35" spans="2:16" x14ac:dyDescent="0.4">
      <c r="B35" s="2" t="s">
        <v>28</v>
      </c>
      <c r="C35" s="29" t="s">
        <v>750</v>
      </c>
      <c r="D35" s="36">
        <v>0.44400000000000001</v>
      </c>
      <c r="E35" s="57" t="s">
        <v>750</v>
      </c>
      <c r="F35" s="29"/>
      <c r="G35" s="37"/>
      <c r="H35" s="29" t="s">
        <v>663</v>
      </c>
      <c r="I35" s="29" t="s">
        <v>655</v>
      </c>
      <c r="J35" s="29" t="s">
        <v>655</v>
      </c>
      <c r="K35" s="37"/>
      <c r="L35" s="29" t="s">
        <v>755</v>
      </c>
      <c r="M35" s="29" t="s">
        <v>673</v>
      </c>
      <c r="N35" s="29" t="s">
        <v>673</v>
      </c>
      <c r="O35" s="37"/>
      <c r="P35" s="37"/>
    </row>
    <row r="36" spans="2:16" x14ac:dyDescent="0.4">
      <c r="B36" s="2" t="s">
        <v>236</v>
      </c>
      <c r="C36" s="29" t="s">
        <v>750</v>
      </c>
      <c r="D36" s="36">
        <v>0.4</v>
      </c>
      <c r="E36" s="57" t="s">
        <v>750</v>
      </c>
      <c r="F36" s="29"/>
      <c r="G36" s="37"/>
      <c r="H36" s="29" t="s">
        <v>663</v>
      </c>
      <c r="I36" s="29" t="s">
        <v>655</v>
      </c>
      <c r="J36" s="29" t="s">
        <v>655</v>
      </c>
      <c r="K36" s="37"/>
      <c r="L36" s="29" t="s">
        <v>755</v>
      </c>
      <c r="M36" s="29" t="s">
        <v>673</v>
      </c>
      <c r="N36" s="29" t="s">
        <v>673</v>
      </c>
      <c r="O36" s="37"/>
      <c r="P36" s="37"/>
    </row>
    <row r="37" spans="2:16" x14ac:dyDescent="0.4">
      <c r="B37" s="2" t="s">
        <v>29</v>
      </c>
      <c r="C37" s="29" t="s">
        <v>749</v>
      </c>
      <c r="D37" s="36">
        <v>0.36399999999999999</v>
      </c>
      <c r="E37" s="57" t="s">
        <v>750</v>
      </c>
      <c r="F37" s="29"/>
      <c r="G37" s="37"/>
      <c r="H37" s="29" t="s">
        <v>663</v>
      </c>
      <c r="I37" s="29" t="s">
        <v>655</v>
      </c>
      <c r="J37" s="29" t="s">
        <v>655</v>
      </c>
      <c r="K37" s="37"/>
      <c r="L37" s="29" t="s">
        <v>756</v>
      </c>
      <c r="M37" s="29" t="s">
        <v>673</v>
      </c>
      <c r="N37" s="29" t="s">
        <v>673</v>
      </c>
      <c r="O37" s="37"/>
      <c r="P37" s="37"/>
    </row>
    <row r="38" spans="2:16" x14ac:dyDescent="0.4">
      <c r="B38" s="2" t="s">
        <v>694</v>
      </c>
      <c r="C38" s="29" t="s">
        <v>749</v>
      </c>
      <c r="D38" s="36">
        <v>0.4</v>
      </c>
      <c r="E38" s="57" t="s">
        <v>749</v>
      </c>
      <c r="F38" s="29"/>
      <c r="G38" s="37"/>
      <c r="H38" s="29" t="s">
        <v>663</v>
      </c>
      <c r="I38" s="29" t="s">
        <v>655</v>
      </c>
      <c r="J38" s="29" t="s">
        <v>655</v>
      </c>
      <c r="K38" s="37"/>
      <c r="L38" s="29" t="s">
        <v>756</v>
      </c>
      <c r="M38" s="29" t="s">
        <v>673</v>
      </c>
      <c r="N38" s="29" t="s">
        <v>655</v>
      </c>
      <c r="O38" s="37"/>
      <c r="P38" s="37"/>
    </row>
    <row r="39" spans="2:16" x14ac:dyDescent="0.4">
      <c r="B39" s="2" t="s">
        <v>30</v>
      </c>
      <c r="C39" s="29" t="s">
        <v>749</v>
      </c>
      <c r="D39" s="36">
        <v>0.44400000000000001</v>
      </c>
      <c r="E39" s="57" t="s">
        <v>749</v>
      </c>
      <c r="F39" s="29"/>
      <c r="G39" s="37"/>
      <c r="H39" s="29" t="s">
        <v>663</v>
      </c>
      <c r="I39" s="29" t="s">
        <v>655</v>
      </c>
      <c r="J39" s="29" t="s">
        <v>655</v>
      </c>
      <c r="K39" s="37"/>
      <c r="L39" s="29" t="s">
        <v>754</v>
      </c>
      <c r="M39" s="29" t="s">
        <v>673</v>
      </c>
      <c r="N39" s="29" t="s">
        <v>655</v>
      </c>
      <c r="O39" s="37"/>
      <c r="P39" s="37"/>
    </row>
    <row r="40" spans="2:16" x14ac:dyDescent="0.4">
      <c r="B40" s="2" t="s">
        <v>31</v>
      </c>
      <c r="C40" s="29" t="s">
        <v>749</v>
      </c>
      <c r="D40" s="36">
        <v>0</v>
      </c>
      <c r="E40" s="57" t="s">
        <v>749</v>
      </c>
      <c r="F40" s="29"/>
      <c r="G40" s="37"/>
      <c r="H40" s="29" t="s">
        <v>663</v>
      </c>
      <c r="I40" s="29" t="s">
        <v>655</v>
      </c>
      <c r="J40" s="29" t="s">
        <v>655</v>
      </c>
      <c r="K40" s="37"/>
      <c r="L40" s="29" t="s">
        <v>756</v>
      </c>
      <c r="M40" s="29" t="s">
        <v>673</v>
      </c>
      <c r="N40" s="29" t="s">
        <v>655</v>
      </c>
      <c r="O40" s="37"/>
      <c r="P40" s="37"/>
    </row>
    <row r="41" spans="2:16" x14ac:dyDescent="0.4">
      <c r="B41" s="2" t="s">
        <v>32</v>
      </c>
      <c r="C41" s="29" t="s">
        <v>750</v>
      </c>
      <c r="D41" s="36">
        <v>0.38500000000000001</v>
      </c>
      <c r="E41" s="57" t="s">
        <v>750</v>
      </c>
      <c r="F41" s="29"/>
      <c r="G41" s="37"/>
      <c r="H41" s="29" t="s">
        <v>663</v>
      </c>
      <c r="I41" s="29" t="s">
        <v>655</v>
      </c>
      <c r="J41" s="29" t="s">
        <v>673</v>
      </c>
      <c r="K41" s="37"/>
      <c r="L41" s="29" t="s">
        <v>755</v>
      </c>
      <c r="M41" s="29" t="s">
        <v>673</v>
      </c>
      <c r="N41" s="29" t="s">
        <v>655</v>
      </c>
      <c r="O41" s="37"/>
      <c r="P41" s="37"/>
    </row>
    <row r="42" spans="2:16" x14ac:dyDescent="0.4">
      <c r="B42" s="2" t="s">
        <v>33</v>
      </c>
      <c r="C42" s="29" t="s">
        <v>749</v>
      </c>
      <c r="D42" s="36">
        <v>0.28599999999999998</v>
      </c>
      <c r="E42" s="57" t="s">
        <v>693</v>
      </c>
      <c r="F42" s="29"/>
      <c r="G42" s="37"/>
      <c r="H42" s="29" t="s">
        <v>663</v>
      </c>
      <c r="I42" s="29" t="s">
        <v>655</v>
      </c>
      <c r="J42" s="29" t="s">
        <v>655</v>
      </c>
      <c r="K42" s="37"/>
      <c r="L42" s="29" t="s">
        <v>756</v>
      </c>
      <c r="M42" s="29" t="s">
        <v>673</v>
      </c>
      <c r="N42" s="29" t="s">
        <v>655</v>
      </c>
      <c r="O42" s="37"/>
      <c r="P42" s="37"/>
    </row>
    <row r="43" spans="2:16" x14ac:dyDescent="0.4">
      <c r="B43" s="2" t="s">
        <v>34</v>
      </c>
      <c r="C43" s="29" t="s">
        <v>749</v>
      </c>
      <c r="D43" s="36">
        <v>0.44400000000000001</v>
      </c>
      <c r="E43" s="57" t="s">
        <v>750</v>
      </c>
      <c r="F43" s="29"/>
      <c r="G43" s="37"/>
      <c r="H43" s="29" t="s">
        <v>663</v>
      </c>
      <c r="I43" s="29" t="s">
        <v>655</v>
      </c>
      <c r="J43" s="29" t="s">
        <v>655</v>
      </c>
      <c r="K43" s="37"/>
      <c r="L43" s="29" t="s">
        <v>756</v>
      </c>
      <c r="M43" s="29" t="s">
        <v>673</v>
      </c>
      <c r="N43" s="29" t="s">
        <v>655</v>
      </c>
      <c r="O43" s="37"/>
      <c r="P43" s="37"/>
    </row>
    <row r="44" spans="2:16" x14ac:dyDescent="0.4">
      <c r="B44" s="2" t="s">
        <v>269</v>
      </c>
      <c r="C44" s="29" t="s">
        <v>749</v>
      </c>
      <c r="D44" s="36">
        <v>0.5</v>
      </c>
      <c r="E44" s="57" t="s">
        <v>750</v>
      </c>
      <c r="F44" s="29"/>
      <c r="G44" s="37"/>
      <c r="H44" s="29">
        <v>1</v>
      </c>
      <c r="I44" s="29" t="s">
        <v>655</v>
      </c>
      <c r="J44" s="29" t="s">
        <v>673</v>
      </c>
      <c r="K44" s="37"/>
      <c r="L44" s="29" t="s">
        <v>754</v>
      </c>
      <c r="M44" s="29" t="s">
        <v>673</v>
      </c>
      <c r="N44" s="29" t="s">
        <v>655</v>
      </c>
      <c r="O44" s="37"/>
      <c r="P44" s="37"/>
    </row>
    <row r="45" spans="2:16" x14ac:dyDescent="0.4">
      <c r="B45" s="2" t="s">
        <v>35</v>
      </c>
      <c r="C45" s="29" t="s">
        <v>749</v>
      </c>
      <c r="D45" s="36">
        <v>0.58299999999999996</v>
      </c>
      <c r="E45" s="57" t="s">
        <v>750</v>
      </c>
      <c r="F45" s="29"/>
      <c r="G45" s="37"/>
      <c r="H45" s="29" t="s">
        <v>663</v>
      </c>
      <c r="I45" s="29" t="s">
        <v>655</v>
      </c>
      <c r="J45" s="29" t="s">
        <v>655</v>
      </c>
      <c r="K45" s="37"/>
      <c r="L45" s="29" t="s">
        <v>754</v>
      </c>
      <c r="M45" s="29" t="s">
        <v>673</v>
      </c>
      <c r="N45" s="29" t="s">
        <v>673</v>
      </c>
      <c r="O45" s="37"/>
      <c r="P45" s="37"/>
    </row>
    <row r="46" spans="2:16" x14ac:dyDescent="0.4">
      <c r="B46" s="2" t="s">
        <v>36</v>
      </c>
      <c r="C46" s="29" t="s">
        <v>749</v>
      </c>
      <c r="D46" s="36">
        <v>0.54400000000000004</v>
      </c>
      <c r="E46" s="57" t="s">
        <v>749</v>
      </c>
      <c r="F46" s="29"/>
      <c r="G46" s="37"/>
      <c r="H46" s="29" t="s">
        <v>663</v>
      </c>
      <c r="I46" s="29" t="s">
        <v>655</v>
      </c>
      <c r="J46" s="29" t="s">
        <v>655</v>
      </c>
      <c r="K46" s="37"/>
      <c r="L46" s="29" t="s">
        <v>756</v>
      </c>
      <c r="M46" s="29" t="s">
        <v>673</v>
      </c>
      <c r="N46" s="29" t="s">
        <v>673</v>
      </c>
      <c r="O46" s="37"/>
      <c r="P46" s="37"/>
    </row>
    <row r="47" spans="2:16" x14ac:dyDescent="0.4">
      <c r="B47" s="2" t="s">
        <v>282</v>
      </c>
      <c r="C47" s="29" t="s">
        <v>749</v>
      </c>
      <c r="D47" s="36">
        <v>0</v>
      </c>
      <c r="E47" s="57" t="s">
        <v>749</v>
      </c>
      <c r="F47" s="29"/>
      <c r="G47" s="37"/>
      <c r="H47" s="29" t="s">
        <v>663</v>
      </c>
      <c r="I47" s="29" t="s">
        <v>655</v>
      </c>
      <c r="J47" s="29" t="s">
        <v>673</v>
      </c>
      <c r="K47" s="37"/>
      <c r="L47" s="29" t="s">
        <v>756</v>
      </c>
      <c r="M47" s="29" t="s">
        <v>673</v>
      </c>
      <c r="N47" s="29" t="s">
        <v>655</v>
      </c>
      <c r="O47" s="37"/>
      <c r="P47" s="37"/>
    </row>
    <row r="48" spans="2:16" x14ac:dyDescent="0.4">
      <c r="B48" s="2" t="s">
        <v>287</v>
      </c>
      <c r="C48" s="29" t="s">
        <v>749</v>
      </c>
      <c r="D48" s="36">
        <v>0.45500000000000002</v>
      </c>
      <c r="E48" s="57" t="s">
        <v>750</v>
      </c>
      <c r="F48" s="29"/>
      <c r="G48" s="37"/>
      <c r="H48" s="29" t="s">
        <v>663</v>
      </c>
      <c r="I48" s="29" t="s">
        <v>655</v>
      </c>
      <c r="J48" s="29" t="s">
        <v>655</v>
      </c>
      <c r="K48" s="37"/>
      <c r="L48" s="29" t="s">
        <v>755</v>
      </c>
      <c r="M48" s="29" t="s">
        <v>673</v>
      </c>
      <c r="N48" s="29" t="s">
        <v>655</v>
      </c>
      <c r="O48" s="37"/>
      <c r="P48" s="37"/>
    </row>
    <row r="49" spans="2:16" x14ac:dyDescent="0.4">
      <c r="B49" s="2" t="s">
        <v>37</v>
      </c>
      <c r="C49" s="29" t="s">
        <v>749</v>
      </c>
      <c r="D49" s="36">
        <v>0.5</v>
      </c>
      <c r="E49" s="57" t="s">
        <v>749</v>
      </c>
      <c r="F49" s="29"/>
      <c r="G49" s="37"/>
      <c r="H49" s="29" t="s">
        <v>663</v>
      </c>
      <c r="I49" s="29" t="s">
        <v>655</v>
      </c>
      <c r="J49" s="29" t="s">
        <v>655</v>
      </c>
      <c r="K49" s="37"/>
      <c r="L49" s="29" t="s">
        <v>754</v>
      </c>
      <c r="M49" s="29" t="s">
        <v>673</v>
      </c>
      <c r="N49" s="29" t="s">
        <v>673</v>
      </c>
      <c r="O49" s="37"/>
      <c r="P49" s="37"/>
    </row>
    <row r="50" spans="2:16" x14ac:dyDescent="0.4">
      <c r="B50" s="2" t="s">
        <v>297</v>
      </c>
      <c r="C50" s="29" t="s">
        <v>749</v>
      </c>
      <c r="D50" s="36">
        <v>0.55600000000000005</v>
      </c>
      <c r="E50" s="57" t="s">
        <v>750</v>
      </c>
      <c r="F50" s="29"/>
      <c r="G50" s="37"/>
      <c r="H50" s="29" t="s">
        <v>663</v>
      </c>
      <c r="I50" s="29" t="s">
        <v>655</v>
      </c>
      <c r="J50" s="29" t="s">
        <v>655</v>
      </c>
      <c r="K50" s="37"/>
      <c r="L50" s="29" t="s">
        <v>755</v>
      </c>
      <c r="M50" s="29" t="s">
        <v>673</v>
      </c>
      <c r="N50" s="29" t="s">
        <v>655</v>
      </c>
      <c r="O50" s="37"/>
      <c r="P50" s="37"/>
    </row>
    <row r="51" spans="2:16" x14ac:dyDescent="0.4">
      <c r="B51" s="2" t="s">
        <v>38</v>
      </c>
      <c r="C51" s="29" t="s">
        <v>750</v>
      </c>
      <c r="D51" s="36">
        <v>0.61499999999999999</v>
      </c>
      <c r="E51" s="57" t="s">
        <v>749</v>
      </c>
      <c r="F51" s="29"/>
      <c r="G51" s="37"/>
      <c r="H51" s="29">
        <v>1</v>
      </c>
      <c r="I51" s="29" t="s">
        <v>673</v>
      </c>
      <c r="J51" s="29" t="s">
        <v>673</v>
      </c>
      <c r="K51" s="37"/>
      <c r="L51" s="29" t="s">
        <v>756</v>
      </c>
      <c r="M51" s="29" t="s">
        <v>673</v>
      </c>
      <c r="N51" s="29" t="s">
        <v>655</v>
      </c>
      <c r="O51" s="37"/>
      <c r="P51" s="37"/>
    </row>
    <row r="52" spans="2:16" x14ac:dyDescent="0.4">
      <c r="B52" s="2" t="s">
        <v>307</v>
      </c>
      <c r="C52" s="29" t="s">
        <v>749</v>
      </c>
      <c r="D52" s="36">
        <v>0.44400000000000001</v>
      </c>
      <c r="E52" s="57" t="s">
        <v>750</v>
      </c>
      <c r="F52" s="29"/>
      <c r="G52" s="37"/>
      <c r="H52" s="29" t="s">
        <v>663</v>
      </c>
      <c r="I52" s="29" t="s">
        <v>655</v>
      </c>
      <c r="J52" s="29" t="s">
        <v>655</v>
      </c>
      <c r="K52" s="37"/>
      <c r="L52" s="29" t="s">
        <v>755</v>
      </c>
      <c r="M52" s="29" t="s">
        <v>673</v>
      </c>
      <c r="N52" s="29" t="s">
        <v>673</v>
      </c>
      <c r="O52" s="37"/>
      <c r="P52" s="37"/>
    </row>
    <row r="53" spans="2:16" x14ac:dyDescent="0.4">
      <c r="B53" s="2" t="s">
        <v>40</v>
      </c>
      <c r="C53" s="29" t="s">
        <v>749</v>
      </c>
      <c r="D53" s="36">
        <v>0.36399999999999999</v>
      </c>
      <c r="E53" s="57" t="s">
        <v>750</v>
      </c>
      <c r="F53" s="29"/>
      <c r="G53" s="37"/>
      <c r="H53" s="29" t="s">
        <v>663</v>
      </c>
      <c r="I53" s="29" t="s">
        <v>655</v>
      </c>
      <c r="J53" s="29" t="s">
        <v>673</v>
      </c>
      <c r="K53" s="37"/>
      <c r="L53" s="29" t="s">
        <v>756</v>
      </c>
      <c r="M53" s="29" t="s">
        <v>673</v>
      </c>
      <c r="N53" s="29" t="s">
        <v>673</v>
      </c>
      <c r="O53" s="37"/>
      <c r="P53" s="37"/>
    </row>
    <row r="54" spans="2:16" x14ac:dyDescent="0.4">
      <c r="B54" s="2" t="s">
        <v>41</v>
      </c>
      <c r="C54" s="29" t="s">
        <v>749</v>
      </c>
      <c r="D54" s="36">
        <v>0.45500000000000002</v>
      </c>
      <c r="E54" s="57" t="s">
        <v>750</v>
      </c>
      <c r="F54" s="29"/>
      <c r="G54" s="37"/>
      <c r="H54" s="29" t="s">
        <v>663</v>
      </c>
      <c r="I54" s="29" t="s">
        <v>655</v>
      </c>
      <c r="J54" s="29" t="s">
        <v>655</v>
      </c>
      <c r="K54" s="37"/>
      <c r="L54" s="29" t="s">
        <v>756</v>
      </c>
      <c r="M54" s="29" t="s">
        <v>673</v>
      </c>
      <c r="N54" s="29" t="s">
        <v>673</v>
      </c>
      <c r="O54" s="37"/>
      <c r="P54" s="37"/>
    </row>
    <row r="55" spans="2:16" x14ac:dyDescent="0.4">
      <c r="B55" s="2" t="s">
        <v>320</v>
      </c>
      <c r="C55" s="29" t="s">
        <v>749</v>
      </c>
      <c r="D55" s="36">
        <v>0.4</v>
      </c>
      <c r="E55" s="57" t="s">
        <v>749</v>
      </c>
      <c r="F55" s="29"/>
      <c r="G55" s="37"/>
      <c r="H55" s="29" t="s">
        <v>663</v>
      </c>
      <c r="I55" s="29" t="s">
        <v>655</v>
      </c>
      <c r="J55" s="29" t="s">
        <v>673</v>
      </c>
      <c r="K55" s="37"/>
      <c r="L55" s="29" t="s">
        <v>754</v>
      </c>
      <c r="M55" s="29" t="s">
        <v>673</v>
      </c>
      <c r="N55" s="29" t="s">
        <v>655</v>
      </c>
      <c r="O55" s="37"/>
      <c r="P55" s="37"/>
    </row>
    <row r="56" spans="2:16" x14ac:dyDescent="0.4">
      <c r="B56" s="2" t="s">
        <v>42</v>
      </c>
      <c r="C56" s="29" t="s">
        <v>749</v>
      </c>
      <c r="D56" s="36">
        <v>0</v>
      </c>
      <c r="E56" s="57" t="s">
        <v>749</v>
      </c>
      <c r="F56" s="29"/>
      <c r="G56" s="37"/>
      <c r="H56" s="29" t="s">
        <v>663</v>
      </c>
      <c r="I56" s="29" t="s">
        <v>655</v>
      </c>
      <c r="J56" s="29" t="s">
        <v>655</v>
      </c>
      <c r="K56" s="37"/>
      <c r="L56" s="29" t="s">
        <v>754</v>
      </c>
      <c r="M56" s="29" t="s">
        <v>673</v>
      </c>
      <c r="N56" s="29" t="s">
        <v>673</v>
      </c>
      <c r="O56" s="37"/>
      <c r="P56" s="37"/>
    </row>
    <row r="57" spans="2:16" x14ac:dyDescent="0.4">
      <c r="B57" s="2" t="s">
        <v>329</v>
      </c>
      <c r="C57" s="29" t="s">
        <v>749</v>
      </c>
      <c r="D57" s="36">
        <v>0.308</v>
      </c>
      <c r="E57" s="57" t="s">
        <v>750</v>
      </c>
      <c r="F57" s="29"/>
      <c r="G57" s="37"/>
      <c r="H57" s="29" t="s">
        <v>663</v>
      </c>
      <c r="I57" s="29" t="s">
        <v>655</v>
      </c>
      <c r="J57" s="29" t="s">
        <v>655</v>
      </c>
      <c r="K57" s="37"/>
      <c r="L57" s="29" t="s">
        <v>755</v>
      </c>
      <c r="M57" s="29" t="s">
        <v>673</v>
      </c>
      <c r="N57" s="29" t="s">
        <v>655</v>
      </c>
      <c r="O57" s="37"/>
      <c r="P57" s="37"/>
    </row>
    <row r="58" spans="2:16" x14ac:dyDescent="0.4">
      <c r="B58" s="2" t="s">
        <v>334</v>
      </c>
      <c r="C58" s="29" t="s">
        <v>749</v>
      </c>
      <c r="D58" s="36">
        <v>0.5</v>
      </c>
      <c r="E58" s="57" t="s">
        <v>749</v>
      </c>
      <c r="F58" s="29"/>
      <c r="G58" s="37"/>
      <c r="H58" s="29" t="s">
        <v>663</v>
      </c>
      <c r="I58" s="29" t="s">
        <v>655</v>
      </c>
      <c r="J58" s="29" t="s">
        <v>655</v>
      </c>
      <c r="K58" s="37"/>
      <c r="L58" s="29" t="s">
        <v>756</v>
      </c>
      <c r="M58" s="29" t="s">
        <v>673</v>
      </c>
      <c r="N58" s="29" t="s">
        <v>655</v>
      </c>
      <c r="O58" s="37"/>
      <c r="P58" s="37"/>
    </row>
    <row r="59" spans="2:16" x14ac:dyDescent="0.4">
      <c r="B59" s="2" t="s">
        <v>43</v>
      </c>
      <c r="C59" s="29" t="s">
        <v>750</v>
      </c>
      <c r="D59" s="36">
        <v>0.3</v>
      </c>
      <c r="E59" s="57" t="s">
        <v>750</v>
      </c>
      <c r="F59" s="29"/>
      <c r="G59" s="37"/>
      <c r="H59" s="29">
        <v>1</v>
      </c>
      <c r="I59" s="29" t="s">
        <v>655</v>
      </c>
      <c r="J59" s="29" t="s">
        <v>655</v>
      </c>
      <c r="K59" s="37"/>
      <c r="L59" s="29" t="s">
        <v>755</v>
      </c>
      <c r="M59" s="29" t="s">
        <v>673</v>
      </c>
      <c r="N59" s="29" t="s">
        <v>673</v>
      </c>
      <c r="O59" s="37"/>
      <c r="P59" s="37"/>
    </row>
    <row r="60" spans="2:16" x14ac:dyDescent="0.4">
      <c r="B60" s="2" t="s">
        <v>44</v>
      </c>
      <c r="C60" s="29" t="s">
        <v>749</v>
      </c>
      <c r="D60" s="36">
        <v>0.375</v>
      </c>
      <c r="E60" s="57" t="s">
        <v>750</v>
      </c>
      <c r="F60" s="29"/>
      <c r="G60" s="37"/>
      <c r="H60" s="29">
        <v>1</v>
      </c>
      <c r="I60" s="29" t="s">
        <v>655</v>
      </c>
      <c r="J60" s="29" t="s">
        <v>673</v>
      </c>
      <c r="K60" s="37"/>
      <c r="L60" s="29" t="s">
        <v>756</v>
      </c>
      <c r="M60" s="29" t="s">
        <v>673</v>
      </c>
      <c r="N60" s="29" t="s">
        <v>673</v>
      </c>
      <c r="O60" s="37"/>
      <c r="P60" s="37"/>
    </row>
    <row r="61" spans="2:16" x14ac:dyDescent="0.4">
      <c r="B61" s="2" t="s">
        <v>45</v>
      </c>
      <c r="C61" s="29" t="s">
        <v>749</v>
      </c>
      <c r="D61" s="36">
        <v>0.45500000000000002</v>
      </c>
      <c r="E61" s="29" t="s">
        <v>749</v>
      </c>
      <c r="F61" s="29"/>
      <c r="G61" s="37"/>
      <c r="H61" s="29" t="s">
        <v>663</v>
      </c>
      <c r="I61" s="29" t="s">
        <v>655</v>
      </c>
      <c r="J61" s="29" t="s">
        <v>655</v>
      </c>
      <c r="K61" s="37"/>
      <c r="L61" s="29" t="s">
        <v>754</v>
      </c>
      <c r="M61" s="29" t="s">
        <v>673</v>
      </c>
      <c r="N61" s="29" t="s">
        <v>673</v>
      </c>
      <c r="O61" s="37"/>
      <c r="P61" s="37"/>
    </row>
    <row r="62" spans="2:16" x14ac:dyDescent="0.4">
      <c r="B62" s="2" t="s">
        <v>46</v>
      </c>
      <c r="C62" s="29" t="s">
        <v>749</v>
      </c>
      <c r="D62" s="36">
        <v>0.41699999999999998</v>
      </c>
      <c r="E62" s="57" t="s">
        <v>749</v>
      </c>
      <c r="F62" s="29"/>
      <c r="G62" s="37"/>
      <c r="H62" s="29" t="s">
        <v>663</v>
      </c>
      <c r="I62" s="29" t="s">
        <v>673</v>
      </c>
      <c r="J62" s="29" t="s">
        <v>655</v>
      </c>
      <c r="K62" s="37"/>
      <c r="L62" s="29" t="s">
        <v>754</v>
      </c>
      <c r="M62" s="29" t="s">
        <v>673</v>
      </c>
      <c r="N62" s="29" t="s">
        <v>673</v>
      </c>
      <c r="O62" s="37"/>
      <c r="P62" s="37"/>
    </row>
    <row r="63" spans="2:16" x14ac:dyDescent="0.4">
      <c r="B63" s="2" t="s">
        <v>47</v>
      </c>
      <c r="C63" s="29" t="s">
        <v>749</v>
      </c>
      <c r="D63" s="36">
        <v>0.5</v>
      </c>
      <c r="E63" s="57" t="s">
        <v>749</v>
      </c>
      <c r="F63" s="29"/>
      <c r="G63" s="37"/>
      <c r="H63" s="29">
        <v>1</v>
      </c>
      <c r="I63" s="29" t="s">
        <v>673</v>
      </c>
      <c r="J63" s="29" t="s">
        <v>655</v>
      </c>
      <c r="K63" s="37"/>
      <c r="L63" s="29" t="s">
        <v>754</v>
      </c>
      <c r="M63" s="29" t="s">
        <v>673</v>
      </c>
      <c r="N63" s="29" t="s">
        <v>673</v>
      </c>
      <c r="O63" s="37"/>
      <c r="P63" s="37"/>
    </row>
    <row r="64" spans="2:16" x14ac:dyDescent="0.4">
      <c r="B64" s="2" t="s">
        <v>362</v>
      </c>
      <c r="C64" s="29" t="s">
        <v>749</v>
      </c>
      <c r="D64" s="36">
        <v>0.44400000000000001</v>
      </c>
      <c r="E64" s="29" t="s">
        <v>749</v>
      </c>
      <c r="F64" s="29"/>
      <c r="G64" s="37"/>
      <c r="H64" s="29" t="s">
        <v>663</v>
      </c>
      <c r="I64" s="29" t="s">
        <v>655</v>
      </c>
      <c r="J64" s="29" t="s">
        <v>655</v>
      </c>
      <c r="K64" s="37"/>
      <c r="L64" s="29" t="s">
        <v>756</v>
      </c>
      <c r="M64" s="29" t="s">
        <v>673</v>
      </c>
      <c r="N64" s="29" t="s">
        <v>673</v>
      </c>
      <c r="O64" s="37"/>
      <c r="P64" s="37"/>
    </row>
    <row r="65" spans="2:16" x14ac:dyDescent="0.4">
      <c r="B65" s="2" t="s">
        <v>367</v>
      </c>
      <c r="C65" s="29" t="s">
        <v>749</v>
      </c>
      <c r="D65" s="36">
        <v>0.33300000000000002</v>
      </c>
      <c r="E65" s="57" t="s">
        <v>749</v>
      </c>
      <c r="F65" s="29"/>
      <c r="G65" s="37"/>
      <c r="H65" s="29" t="s">
        <v>663</v>
      </c>
      <c r="I65" s="29" t="s">
        <v>655</v>
      </c>
      <c r="J65" s="29" t="s">
        <v>655</v>
      </c>
      <c r="K65" s="37"/>
      <c r="L65" s="29" t="s">
        <v>754</v>
      </c>
      <c r="M65" s="29" t="s">
        <v>673</v>
      </c>
      <c r="N65" s="29" t="s">
        <v>673</v>
      </c>
      <c r="O65" s="37"/>
      <c r="P65" s="37"/>
    </row>
    <row r="66" spans="2:16" x14ac:dyDescent="0.4">
      <c r="B66" s="2" t="s">
        <v>48</v>
      </c>
      <c r="C66" s="29" t="s">
        <v>749</v>
      </c>
      <c r="D66" s="36">
        <v>0.4</v>
      </c>
      <c r="E66" s="57" t="s">
        <v>749</v>
      </c>
      <c r="F66" s="29"/>
      <c r="G66" s="37"/>
      <c r="H66" s="29" t="s">
        <v>663</v>
      </c>
      <c r="I66" s="29" t="s">
        <v>673</v>
      </c>
      <c r="J66" s="29" t="s">
        <v>655</v>
      </c>
      <c r="K66" s="37"/>
      <c r="L66" s="29" t="s">
        <v>756</v>
      </c>
      <c r="M66" s="29" t="s">
        <v>673</v>
      </c>
      <c r="N66" s="29" t="s">
        <v>655</v>
      </c>
      <c r="O66" s="37"/>
      <c r="P66" s="37"/>
    </row>
    <row r="67" spans="2:16" x14ac:dyDescent="0.4">
      <c r="B67" s="2" t="s">
        <v>49</v>
      </c>
      <c r="C67" s="29" t="s">
        <v>749</v>
      </c>
      <c r="D67" s="36">
        <v>0.66700000000000004</v>
      </c>
      <c r="E67" s="57" t="s">
        <v>750</v>
      </c>
      <c r="F67" s="29"/>
      <c r="G67" s="37"/>
      <c r="H67" s="29" t="s">
        <v>663</v>
      </c>
      <c r="I67" s="29" t="s">
        <v>655</v>
      </c>
      <c r="J67" s="29" t="s">
        <v>673</v>
      </c>
      <c r="K67" s="37"/>
      <c r="L67" s="29" t="s">
        <v>755</v>
      </c>
      <c r="M67" s="29" t="s">
        <v>673</v>
      </c>
      <c r="N67" s="29" t="s">
        <v>673</v>
      </c>
      <c r="O67" s="37"/>
      <c r="P67" s="37"/>
    </row>
    <row r="68" spans="2:16" x14ac:dyDescent="0.4">
      <c r="B68" s="2" t="s">
        <v>50</v>
      </c>
      <c r="C68" s="29" t="s">
        <v>750</v>
      </c>
      <c r="D68" s="36">
        <v>0.4</v>
      </c>
      <c r="E68" s="57" t="s">
        <v>750</v>
      </c>
      <c r="F68" s="29"/>
      <c r="G68" s="37"/>
      <c r="H68" s="29" t="s">
        <v>663</v>
      </c>
      <c r="I68" s="29" t="s">
        <v>655</v>
      </c>
      <c r="J68" s="29" t="s">
        <v>655</v>
      </c>
      <c r="K68" s="37"/>
      <c r="L68" s="29" t="s">
        <v>755</v>
      </c>
      <c r="M68" s="29" t="s">
        <v>673</v>
      </c>
      <c r="N68" s="29" t="s">
        <v>673</v>
      </c>
      <c r="O68" s="37"/>
      <c r="P68" s="37"/>
    </row>
    <row r="69" spans="2:16" x14ac:dyDescent="0.4">
      <c r="B69" s="2" t="s">
        <v>51</v>
      </c>
      <c r="C69" s="29" t="s">
        <v>749</v>
      </c>
      <c r="D69" s="36">
        <v>0.4</v>
      </c>
      <c r="E69" s="57" t="s">
        <v>750</v>
      </c>
      <c r="F69" s="29"/>
      <c r="G69" s="37"/>
      <c r="H69" s="29" t="s">
        <v>663</v>
      </c>
      <c r="I69" s="29" t="s">
        <v>655</v>
      </c>
      <c r="J69" s="29" t="s">
        <v>655</v>
      </c>
      <c r="K69" s="37"/>
      <c r="L69" s="29" t="s">
        <v>756</v>
      </c>
      <c r="M69" s="29" t="s">
        <v>673</v>
      </c>
      <c r="N69" s="29" t="s">
        <v>655</v>
      </c>
      <c r="O69" s="37"/>
      <c r="P69" s="37"/>
    </row>
    <row r="70" spans="2:16" x14ac:dyDescent="0.4">
      <c r="B70" s="2" t="s">
        <v>52</v>
      </c>
      <c r="C70" s="29" t="s">
        <v>749</v>
      </c>
      <c r="D70" s="36">
        <v>0.41699999999999998</v>
      </c>
      <c r="E70" s="57" t="s">
        <v>749</v>
      </c>
      <c r="F70" s="29"/>
      <c r="G70" s="37"/>
      <c r="H70" s="29" t="s">
        <v>663</v>
      </c>
      <c r="I70" s="29" t="s">
        <v>673</v>
      </c>
      <c r="J70" s="29" t="s">
        <v>673</v>
      </c>
      <c r="K70" s="37"/>
      <c r="L70" s="29" t="s">
        <v>754</v>
      </c>
      <c r="M70" s="29" t="s">
        <v>673</v>
      </c>
      <c r="N70" s="29" t="s">
        <v>655</v>
      </c>
      <c r="O70" s="37"/>
      <c r="P70" s="37"/>
    </row>
    <row r="71" spans="2:16" x14ac:dyDescent="0.4">
      <c r="B71" s="2" t="s">
        <v>53</v>
      </c>
      <c r="C71" s="29" t="s">
        <v>749</v>
      </c>
      <c r="D71" s="36">
        <v>0.6</v>
      </c>
      <c r="E71" s="57" t="s">
        <v>749</v>
      </c>
      <c r="F71" s="29"/>
      <c r="G71" s="37"/>
      <c r="H71" s="29">
        <v>2</v>
      </c>
      <c r="I71" s="29" t="s">
        <v>673</v>
      </c>
      <c r="J71" s="29" t="s">
        <v>655</v>
      </c>
      <c r="K71" s="37"/>
      <c r="L71" s="29" t="s">
        <v>756</v>
      </c>
      <c r="M71" s="29" t="s">
        <v>673</v>
      </c>
      <c r="N71" s="29" t="s">
        <v>655</v>
      </c>
      <c r="O71" s="37"/>
      <c r="P71" s="37"/>
    </row>
    <row r="72" spans="2:16" x14ac:dyDescent="0.4">
      <c r="B72" s="2" t="s">
        <v>398</v>
      </c>
      <c r="C72" s="29" t="s">
        <v>751</v>
      </c>
      <c r="D72" s="36">
        <v>0.33300000000000002</v>
      </c>
      <c r="E72" s="57" t="s">
        <v>751</v>
      </c>
      <c r="F72" s="29"/>
      <c r="G72" s="37"/>
      <c r="H72" s="29">
        <v>1</v>
      </c>
      <c r="I72" s="29" t="s">
        <v>655</v>
      </c>
      <c r="J72" s="29" t="s">
        <v>655</v>
      </c>
      <c r="K72" s="37"/>
      <c r="L72" s="29" t="s">
        <v>755</v>
      </c>
      <c r="M72" s="29" t="s">
        <v>673</v>
      </c>
      <c r="N72" s="29" t="s">
        <v>655</v>
      </c>
      <c r="O72" s="37"/>
      <c r="P72" s="37"/>
    </row>
    <row r="73" spans="2:16" x14ac:dyDescent="0.4">
      <c r="B73" s="2" t="s">
        <v>54</v>
      </c>
      <c r="C73" s="29" t="s">
        <v>749</v>
      </c>
      <c r="D73" s="36">
        <v>0.63300000000000001</v>
      </c>
      <c r="E73" s="57" t="s">
        <v>749</v>
      </c>
      <c r="F73" s="29"/>
      <c r="G73" s="37"/>
      <c r="H73" s="29" t="s">
        <v>663</v>
      </c>
      <c r="I73" s="29" t="s">
        <v>673</v>
      </c>
      <c r="J73" s="29" t="s">
        <v>655</v>
      </c>
      <c r="K73" s="37"/>
      <c r="L73" s="29" t="s">
        <v>754</v>
      </c>
      <c r="M73" s="29" t="s">
        <v>673</v>
      </c>
      <c r="N73" s="29" t="s">
        <v>673</v>
      </c>
      <c r="O73" s="37"/>
      <c r="P73" s="37"/>
    </row>
    <row r="74" spans="2:16" x14ac:dyDescent="0.4">
      <c r="B74" s="2" t="s">
        <v>56</v>
      </c>
      <c r="C74" s="29" t="s">
        <v>749</v>
      </c>
      <c r="D74" s="36">
        <v>0.44400000000000001</v>
      </c>
      <c r="E74" s="57" t="s">
        <v>750</v>
      </c>
      <c r="F74" s="29"/>
      <c r="G74" s="37"/>
      <c r="H74" s="29" t="s">
        <v>663</v>
      </c>
      <c r="I74" s="29" t="s">
        <v>655</v>
      </c>
      <c r="J74" s="29" t="s">
        <v>655</v>
      </c>
      <c r="K74" s="37"/>
      <c r="L74" s="29" t="s">
        <v>755</v>
      </c>
      <c r="M74" s="29" t="s">
        <v>673</v>
      </c>
      <c r="N74" s="29" t="s">
        <v>673</v>
      </c>
      <c r="O74" s="37"/>
      <c r="P74" s="37"/>
    </row>
    <row r="75" spans="2:16" x14ac:dyDescent="0.4">
      <c r="B75" s="2" t="s">
        <v>57</v>
      </c>
      <c r="C75" s="29" t="s">
        <v>749</v>
      </c>
      <c r="D75" s="36">
        <v>0.58299999999999996</v>
      </c>
      <c r="E75" s="57" t="s">
        <v>749</v>
      </c>
      <c r="F75" s="29"/>
      <c r="G75" s="37"/>
      <c r="H75" s="29" t="s">
        <v>663</v>
      </c>
      <c r="I75" s="29" t="s">
        <v>655</v>
      </c>
      <c r="J75" s="29" t="s">
        <v>655</v>
      </c>
      <c r="K75" s="37"/>
      <c r="L75" s="29" t="s">
        <v>754</v>
      </c>
      <c r="M75" s="29" t="s">
        <v>673</v>
      </c>
      <c r="N75" s="29" t="s">
        <v>673</v>
      </c>
      <c r="O75" s="37"/>
      <c r="P75" s="37"/>
    </row>
    <row r="76" spans="2:16" x14ac:dyDescent="0.4">
      <c r="B76" s="2" t="s">
        <v>58</v>
      </c>
      <c r="C76" s="29" t="s">
        <v>749</v>
      </c>
      <c r="D76" s="36">
        <v>0.33300000000000002</v>
      </c>
      <c r="E76" s="57" t="s">
        <v>750</v>
      </c>
      <c r="F76" s="29"/>
      <c r="G76" s="37"/>
      <c r="H76" s="29" t="s">
        <v>663</v>
      </c>
      <c r="I76" s="29" t="s">
        <v>673</v>
      </c>
      <c r="J76" s="29" t="s">
        <v>673</v>
      </c>
      <c r="K76" s="37"/>
      <c r="L76" s="29" t="s">
        <v>755</v>
      </c>
      <c r="M76" s="29" t="s">
        <v>673</v>
      </c>
      <c r="N76" s="29" t="s">
        <v>655</v>
      </c>
      <c r="O76" s="37"/>
      <c r="P76" s="37"/>
    </row>
    <row r="77" spans="2:16" x14ac:dyDescent="0.4">
      <c r="B77" s="2" t="s">
        <v>59</v>
      </c>
      <c r="C77" s="29" t="s">
        <v>749</v>
      </c>
      <c r="D77" s="36">
        <v>0.58299999999999996</v>
      </c>
      <c r="E77" s="57" t="s">
        <v>750</v>
      </c>
      <c r="F77" s="29"/>
      <c r="G77" s="37"/>
      <c r="H77" s="29" t="s">
        <v>663</v>
      </c>
      <c r="I77" s="29" t="s">
        <v>655</v>
      </c>
      <c r="J77" s="29" t="s">
        <v>655</v>
      </c>
      <c r="K77" s="37"/>
      <c r="L77" s="29" t="s">
        <v>754</v>
      </c>
      <c r="M77" s="29" t="s">
        <v>673</v>
      </c>
      <c r="N77" s="29" t="s">
        <v>655</v>
      </c>
      <c r="O77" s="37"/>
      <c r="P77" s="37"/>
    </row>
    <row r="78" spans="2:16" x14ac:dyDescent="0.4">
      <c r="B78" s="2" t="s">
        <v>60</v>
      </c>
      <c r="C78" s="29" t="s">
        <v>749</v>
      </c>
      <c r="D78" s="36">
        <v>0.4</v>
      </c>
      <c r="E78" s="57" t="s">
        <v>750</v>
      </c>
      <c r="F78" s="29"/>
      <c r="G78" s="37"/>
      <c r="H78" s="29" t="s">
        <v>663</v>
      </c>
      <c r="I78" s="29" t="s">
        <v>673</v>
      </c>
      <c r="J78" s="29" t="s">
        <v>655</v>
      </c>
      <c r="K78" s="37"/>
      <c r="L78" s="29" t="s">
        <v>754</v>
      </c>
      <c r="M78" s="29" t="s">
        <v>673</v>
      </c>
      <c r="N78" s="29" t="s">
        <v>655</v>
      </c>
      <c r="O78" s="37"/>
      <c r="P78" s="37"/>
    </row>
    <row r="79" spans="2:16" x14ac:dyDescent="0.4">
      <c r="B79" s="2" t="s">
        <v>61</v>
      </c>
      <c r="C79" s="29" t="s">
        <v>749</v>
      </c>
      <c r="D79" s="36">
        <v>0.36399999999999999</v>
      </c>
      <c r="E79" s="57" t="s">
        <v>750</v>
      </c>
      <c r="F79" s="29"/>
      <c r="G79" s="37"/>
      <c r="H79" s="29" t="s">
        <v>663</v>
      </c>
      <c r="I79" s="29" t="s">
        <v>655</v>
      </c>
      <c r="J79" s="29" t="s">
        <v>655</v>
      </c>
      <c r="K79" s="37"/>
      <c r="L79" s="29" t="s">
        <v>756</v>
      </c>
      <c r="M79" s="29" t="s">
        <v>673</v>
      </c>
      <c r="N79" s="29" t="s">
        <v>655</v>
      </c>
      <c r="O79" s="37"/>
      <c r="P79" s="37"/>
    </row>
    <row r="80" spans="2:16" x14ac:dyDescent="0.4">
      <c r="B80" s="2" t="s">
        <v>62</v>
      </c>
      <c r="C80" s="29" t="s">
        <v>749</v>
      </c>
      <c r="D80" s="36">
        <v>0.5</v>
      </c>
      <c r="E80" s="57" t="s">
        <v>749</v>
      </c>
      <c r="F80" s="29"/>
      <c r="G80" s="37"/>
      <c r="H80" s="29" t="s">
        <v>663</v>
      </c>
      <c r="I80" s="29" t="s">
        <v>655</v>
      </c>
      <c r="J80" s="29" t="s">
        <v>655</v>
      </c>
      <c r="K80" s="37"/>
      <c r="L80" s="29" t="s">
        <v>756</v>
      </c>
      <c r="M80" s="29" t="s">
        <v>673</v>
      </c>
      <c r="N80" s="29" t="s">
        <v>655</v>
      </c>
      <c r="O80" s="37"/>
      <c r="P80" s="37"/>
    </row>
    <row r="81" spans="2:16" x14ac:dyDescent="0.4">
      <c r="B81" s="2" t="s">
        <v>439</v>
      </c>
      <c r="C81" s="29" t="s">
        <v>750</v>
      </c>
      <c r="D81" s="36">
        <v>0.4</v>
      </c>
      <c r="E81" s="57" t="s">
        <v>750</v>
      </c>
      <c r="F81" s="29"/>
      <c r="G81" s="37"/>
      <c r="H81" s="29" t="s">
        <v>663</v>
      </c>
      <c r="I81" s="29" t="s">
        <v>655</v>
      </c>
      <c r="J81" s="29" t="s">
        <v>673</v>
      </c>
      <c r="K81" s="37"/>
      <c r="L81" s="29" t="s">
        <v>756</v>
      </c>
      <c r="M81" s="29" t="s">
        <v>673</v>
      </c>
      <c r="N81" s="29" t="s">
        <v>673</v>
      </c>
      <c r="O81" s="37"/>
      <c r="P81" s="37"/>
    </row>
    <row r="82" spans="2:16" x14ac:dyDescent="0.4">
      <c r="B82" s="2" t="s">
        <v>63</v>
      </c>
      <c r="C82" s="29" t="s">
        <v>749</v>
      </c>
      <c r="D82" s="36">
        <v>0.5</v>
      </c>
      <c r="E82" s="57" t="s">
        <v>750</v>
      </c>
      <c r="F82" s="29"/>
      <c r="G82" s="37"/>
      <c r="H82" s="29" t="s">
        <v>663</v>
      </c>
      <c r="I82" s="29" t="s">
        <v>655</v>
      </c>
      <c r="J82" s="29" t="s">
        <v>655</v>
      </c>
      <c r="K82" s="37"/>
      <c r="L82" s="29" t="s">
        <v>756</v>
      </c>
      <c r="M82" s="29" t="s">
        <v>673</v>
      </c>
      <c r="N82" s="29" t="s">
        <v>655</v>
      </c>
      <c r="O82" s="37"/>
      <c r="P82" s="37"/>
    </row>
    <row r="83" spans="2:16" x14ac:dyDescent="0.4">
      <c r="B83" s="2" t="s">
        <v>448</v>
      </c>
      <c r="C83" s="29" t="s">
        <v>749</v>
      </c>
      <c r="D83" s="36">
        <v>0.4</v>
      </c>
      <c r="E83" s="57" t="s">
        <v>749</v>
      </c>
      <c r="F83" s="29"/>
      <c r="G83" s="37"/>
      <c r="H83" s="29" t="s">
        <v>663</v>
      </c>
      <c r="I83" s="29" t="s">
        <v>655</v>
      </c>
      <c r="J83" s="29" t="s">
        <v>655</v>
      </c>
      <c r="K83" s="37"/>
      <c r="L83" s="29" t="s">
        <v>754</v>
      </c>
      <c r="M83" s="29" t="s">
        <v>673</v>
      </c>
      <c r="N83" s="29" t="s">
        <v>655</v>
      </c>
      <c r="O83" s="37"/>
      <c r="P83" s="37"/>
    </row>
    <row r="84" spans="2:16" x14ac:dyDescent="0.4">
      <c r="B84" s="2" t="s">
        <v>454</v>
      </c>
      <c r="C84" s="29" t="s">
        <v>749</v>
      </c>
      <c r="D84" s="36">
        <v>0.5</v>
      </c>
      <c r="E84" s="57" t="s">
        <v>749</v>
      </c>
      <c r="F84" s="29"/>
      <c r="G84" s="37"/>
      <c r="H84" s="29" t="s">
        <v>663</v>
      </c>
      <c r="I84" s="29" t="s">
        <v>655</v>
      </c>
      <c r="J84" s="29" t="s">
        <v>673</v>
      </c>
      <c r="K84" s="37"/>
      <c r="L84" s="29" t="s">
        <v>756</v>
      </c>
      <c r="M84" s="29" t="s">
        <v>673</v>
      </c>
      <c r="N84" s="29" t="s">
        <v>673</v>
      </c>
      <c r="O84" s="37"/>
      <c r="P84" s="37"/>
    </row>
    <row r="85" spans="2:16" x14ac:dyDescent="0.4">
      <c r="B85" s="2" t="s">
        <v>459</v>
      </c>
      <c r="C85" s="29" t="s">
        <v>749</v>
      </c>
      <c r="D85" s="36">
        <v>0.58299999999999996</v>
      </c>
      <c r="E85" s="57" t="s">
        <v>749</v>
      </c>
      <c r="F85" s="29"/>
      <c r="G85" s="37"/>
      <c r="H85" s="29" t="s">
        <v>663</v>
      </c>
      <c r="I85" s="29" t="s">
        <v>673</v>
      </c>
      <c r="J85" s="29" t="s">
        <v>673</v>
      </c>
      <c r="K85" s="37"/>
      <c r="L85" s="29" t="s">
        <v>756</v>
      </c>
      <c r="M85" s="29" t="s">
        <v>673</v>
      </c>
      <c r="N85" s="29" t="s">
        <v>655</v>
      </c>
      <c r="O85" s="37"/>
      <c r="P85" s="37"/>
    </row>
    <row r="86" spans="2:16" x14ac:dyDescent="0.4">
      <c r="B86" s="2" t="s">
        <v>64</v>
      </c>
      <c r="C86" s="29" t="s">
        <v>749</v>
      </c>
      <c r="D86" s="36">
        <v>0</v>
      </c>
      <c r="E86" s="57" t="s">
        <v>749</v>
      </c>
      <c r="F86" s="29"/>
      <c r="G86" s="37"/>
      <c r="H86" s="29" t="s">
        <v>663</v>
      </c>
      <c r="I86" s="29" t="s">
        <v>655</v>
      </c>
      <c r="J86" s="29" t="s">
        <v>655</v>
      </c>
      <c r="K86" s="37"/>
      <c r="L86" s="29" t="s">
        <v>755</v>
      </c>
      <c r="M86" s="29" t="s">
        <v>673</v>
      </c>
      <c r="N86" s="29" t="s">
        <v>655</v>
      </c>
      <c r="O86" s="37"/>
      <c r="P86" s="37"/>
    </row>
    <row r="87" spans="2:16" x14ac:dyDescent="0.4">
      <c r="B87" s="2" t="s">
        <v>65</v>
      </c>
      <c r="C87" s="29" t="s">
        <v>749</v>
      </c>
      <c r="D87" s="36">
        <v>0.44400000000000001</v>
      </c>
      <c r="E87" s="57" t="s">
        <v>750</v>
      </c>
      <c r="F87" s="29"/>
      <c r="G87" s="37"/>
      <c r="H87" s="29" t="s">
        <v>663</v>
      </c>
      <c r="I87" s="29" t="s">
        <v>655</v>
      </c>
      <c r="J87" s="29" t="s">
        <v>673</v>
      </c>
      <c r="K87" s="37"/>
      <c r="L87" s="29" t="s">
        <v>756</v>
      </c>
      <c r="M87" s="29" t="s">
        <v>673</v>
      </c>
      <c r="N87" s="29" t="s">
        <v>673</v>
      </c>
      <c r="O87" s="37"/>
      <c r="P87" s="37"/>
    </row>
    <row r="88" spans="2:16" x14ac:dyDescent="0.4">
      <c r="B88" s="2" t="s">
        <v>66</v>
      </c>
      <c r="C88" s="29" t="s">
        <v>749</v>
      </c>
      <c r="D88" s="36">
        <v>0.625</v>
      </c>
      <c r="E88" s="57" t="s">
        <v>749</v>
      </c>
      <c r="F88" s="29"/>
      <c r="G88" s="37"/>
      <c r="H88" s="29" t="s">
        <v>663</v>
      </c>
      <c r="I88" s="29" t="s">
        <v>673</v>
      </c>
      <c r="J88" s="29" t="s">
        <v>655</v>
      </c>
      <c r="K88" s="37"/>
      <c r="L88" s="29" t="s">
        <v>754</v>
      </c>
      <c r="M88" s="29" t="s">
        <v>673</v>
      </c>
      <c r="N88" s="29" t="s">
        <v>673</v>
      </c>
      <c r="O88" s="37"/>
      <c r="P88" s="37"/>
    </row>
    <row r="89" spans="2:16" x14ac:dyDescent="0.4">
      <c r="B89" s="2" t="s">
        <v>476</v>
      </c>
      <c r="C89" s="29" t="s">
        <v>749</v>
      </c>
      <c r="D89" s="36">
        <v>0.41699999999999998</v>
      </c>
      <c r="E89" s="57" t="s">
        <v>750</v>
      </c>
      <c r="F89" s="29"/>
      <c r="G89" s="37"/>
      <c r="H89" s="29" t="s">
        <v>663</v>
      </c>
      <c r="I89" s="29" t="s">
        <v>655</v>
      </c>
      <c r="J89" s="29" t="s">
        <v>655</v>
      </c>
      <c r="K89" s="37"/>
      <c r="L89" s="29" t="s">
        <v>756</v>
      </c>
      <c r="M89" s="29" t="s">
        <v>673</v>
      </c>
      <c r="N89" s="29" t="s">
        <v>673</v>
      </c>
      <c r="O89" s="37"/>
      <c r="P89" s="37"/>
    </row>
    <row r="90" spans="2:16" x14ac:dyDescent="0.4">
      <c r="B90" s="2" t="s">
        <v>67</v>
      </c>
      <c r="C90" s="29" t="s">
        <v>749</v>
      </c>
      <c r="D90" s="36">
        <v>0.308</v>
      </c>
      <c r="E90" s="57" t="s">
        <v>750</v>
      </c>
      <c r="F90" s="29"/>
      <c r="G90" s="37"/>
      <c r="H90" s="29" t="s">
        <v>663</v>
      </c>
      <c r="I90" s="29" t="s">
        <v>655</v>
      </c>
      <c r="J90" s="29" t="s">
        <v>655</v>
      </c>
      <c r="K90" s="37"/>
      <c r="L90" s="29" t="s">
        <v>754</v>
      </c>
      <c r="M90" s="29" t="s">
        <v>673</v>
      </c>
      <c r="N90" s="29" t="s">
        <v>655</v>
      </c>
      <c r="O90" s="37"/>
      <c r="P90" s="37"/>
    </row>
    <row r="91" spans="2:16" x14ac:dyDescent="0.4">
      <c r="B91" s="2" t="s">
        <v>68</v>
      </c>
      <c r="C91" s="29" t="s">
        <v>749</v>
      </c>
      <c r="D91" s="36">
        <v>0.27300000000000002</v>
      </c>
      <c r="E91" s="57" t="s">
        <v>750</v>
      </c>
      <c r="F91" s="29"/>
      <c r="G91" s="37"/>
      <c r="H91" s="29" t="s">
        <v>663</v>
      </c>
      <c r="I91" s="29" t="s">
        <v>655</v>
      </c>
      <c r="J91" s="29" t="s">
        <v>655</v>
      </c>
      <c r="K91" s="37"/>
      <c r="L91" s="29" t="s">
        <v>755</v>
      </c>
      <c r="M91" s="29" t="s">
        <v>673</v>
      </c>
      <c r="N91" s="29" t="s">
        <v>673</v>
      </c>
      <c r="O91" s="37"/>
      <c r="P91" s="37"/>
    </row>
    <row r="92" spans="2:16" x14ac:dyDescent="0.4">
      <c r="B92" s="2" t="s">
        <v>490</v>
      </c>
      <c r="C92" s="29" t="s">
        <v>749</v>
      </c>
      <c r="D92" s="36">
        <v>0.5</v>
      </c>
      <c r="E92" s="57" t="s">
        <v>750</v>
      </c>
      <c r="F92" s="29"/>
      <c r="G92" s="37"/>
      <c r="H92" s="29">
        <v>1</v>
      </c>
      <c r="I92" s="29" t="s">
        <v>655</v>
      </c>
      <c r="J92" s="29" t="s">
        <v>655</v>
      </c>
      <c r="K92" s="37"/>
      <c r="L92" s="29" t="s">
        <v>755</v>
      </c>
      <c r="M92" s="29" t="s">
        <v>673</v>
      </c>
      <c r="N92" s="29" t="s">
        <v>673</v>
      </c>
      <c r="O92" s="37"/>
      <c r="P92" s="37"/>
    </row>
    <row r="93" spans="2:16" x14ac:dyDescent="0.4">
      <c r="B93" s="2" t="s">
        <v>495</v>
      </c>
      <c r="C93" s="29" t="s">
        <v>749</v>
      </c>
      <c r="D93" s="36">
        <v>0.45500000000000002</v>
      </c>
      <c r="E93" s="57" t="s">
        <v>749</v>
      </c>
      <c r="F93" s="29"/>
      <c r="G93" s="37"/>
      <c r="H93" s="29" t="s">
        <v>663</v>
      </c>
      <c r="I93" s="29" t="s">
        <v>673</v>
      </c>
      <c r="J93" s="29" t="s">
        <v>673</v>
      </c>
      <c r="K93" s="37"/>
      <c r="L93" s="29" t="s">
        <v>754</v>
      </c>
      <c r="M93" s="29" t="s">
        <v>673</v>
      </c>
      <c r="N93" s="29" t="s">
        <v>673</v>
      </c>
      <c r="O93" s="37"/>
      <c r="P93" s="37"/>
    </row>
    <row r="94" spans="2:16" x14ac:dyDescent="0.4">
      <c r="B94" s="2" t="s">
        <v>500</v>
      </c>
      <c r="C94" s="29" t="s">
        <v>749</v>
      </c>
      <c r="D94" s="36">
        <v>0.44400000000000001</v>
      </c>
      <c r="E94" s="57" t="s">
        <v>749</v>
      </c>
      <c r="F94" s="29"/>
      <c r="G94" s="37"/>
      <c r="H94" s="29">
        <v>1</v>
      </c>
      <c r="I94" s="29" t="s">
        <v>655</v>
      </c>
      <c r="J94" s="29" t="s">
        <v>655</v>
      </c>
      <c r="K94" s="37"/>
      <c r="L94" s="29" t="s">
        <v>756</v>
      </c>
      <c r="M94" s="29" t="s">
        <v>673</v>
      </c>
      <c r="N94" s="29" t="s">
        <v>673</v>
      </c>
      <c r="O94" s="37"/>
      <c r="P94" s="37"/>
    </row>
    <row r="95" spans="2:16" x14ac:dyDescent="0.4">
      <c r="B95" s="2" t="s">
        <v>70</v>
      </c>
      <c r="C95" s="29" t="s">
        <v>749</v>
      </c>
      <c r="D95" s="36">
        <v>0.45500000000000002</v>
      </c>
      <c r="E95" s="57" t="s">
        <v>750</v>
      </c>
      <c r="F95" s="29"/>
      <c r="G95" s="37"/>
      <c r="H95" s="29">
        <v>1</v>
      </c>
      <c r="I95" s="29" t="s">
        <v>673</v>
      </c>
      <c r="J95" s="29" t="s">
        <v>655</v>
      </c>
      <c r="K95" s="37"/>
      <c r="L95" s="29" t="s">
        <v>755</v>
      </c>
      <c r="M95" s="29" t="s">
        <v>673</v>
      </c>
      <c r="N95" s="29" t="s">
        <v>673</v>
      </c>
      <c r="O95" s="37"/>
      <c r="P95" s="37"/>
    </row>
    <row r="96" spans="2:16" x14ac:dyDescent="0.4">
      <c r="B96" s="2" t="s">
        <v>71</v>
      </c>
      <c r="C96" s="29" t="s">
        <v>749</v>
      </c>
      <c r="D96" s="36">
        <v>0</v>
      </c>
      <c r="E96" s="57" t="s">
        <v>750</v>
      </c>
      <c r="F96" s="29"/>
      <c r="G96" s="37"/>
      <c r="H96" s="29" t="s">
        <v>663</v>
      </c>
      <c r="I96" s="29" t="s">
        <v>655</v>
      </c>
      <c r="J96" s="29" t="s">
        <v>655</v>
      </c>
      <c r="K96" s="37"/>
      <c r="L96" s="29" t="s">
        <v>755</v>
      </c>
      <c r="M96" s="29" t="s">
        <v>673</v>
      </c>
      <c r="N96" s="29" t="s">
        <v>655</v>
      </c>
      <c r="O96" s="37"/>
      <c r="P96" s="37"/>
    </row>
    <row r="97" spans="2:17" x14ac:dyDescent="0.4">
      <c r="B97" s="2" t="s">
        <v>72</v>
      </c>
      <c r="C97" s="29" t="s">
        <v>749</v>
      </c>
      <c r="D97" s="36">
        <v>0.36399999999999999</v>
      </c>
      <c r="E97" s="57" t="s">
        <v>750</v>
      </c>
      <c r="F97" s="29"/>
      <c r="G97" s="37"/>
      <c r="H97" s="29">
        <v>1</v>
      </c>
      <c r="I97" s="29" t="s">
        <v>655</v>
      </c>
      <c r="J97" s="29" t="s">
        <v>673</v>
      </c>
      <c r="K97" s="37"/>
      <c r="L97" s="29" t="s">
        <v>756</v>
      </c>
      <c r="M97" s="29" t="s">
        <v>673</v>
      </c>
      <c r="N97" s="29" t="s">
        <v>655</v>
      </c>
      <c r="O97" s="37"/>
      <c r="P97" s="37"/>
    </row>
    <row r="98" spans="2:17" x14ac:dyDescent="0.4">
      <c r="B98" s="2" t="s">
        <v>73</v>
      </c>
      <c r="C98" s="29" t="s">
        <v>749</v>
      </c>
      <c r="D98" s="36">
        <v>0.4</v>
      </c>
      <c r="E98" s="57" t="s">
        <v>749</v>
      </c>
      <c r="F98" s="29"/>
      <c r="G98" s="37"/>
      <c r="H98" s="29">
        <v>1</v>
      </c>
      <c r="I98" s="29" t="s">
        <v>673</v>
      </c>
      <c r="J98" s="29" t="s">
        <v>655</v>
      </c>
      <c r="K98" s="37"/>
      <c r="L98" s="29" t="s">
        <v>754</v>
      </c>
      <c r="M98" s="29" t="s">
        <v>673</v>
      </c>
      <c r="N98" s="29" t="s">
        <v>655</v>
      </c>
      <c r="O98" s="37"/>
      <c r="P98" s="37"/>
    </row>
    <row r="99" spans="2:17" x14ac:dyDescent="0.4">
      <c r="B99" s="2" t="s">
        <v>522</v>
      </c>
      <c r="C99" s="29" t="s">
        <v>750</v>
      </c>
      <c r="D99" s="36">
        <v>0</v>
      </c>
      <c r="E99" s="57" t="s">
        <v>750</v>
      </c>
      <c r="F99" s="29"/>
      <c r="G99" s="37"/>
      <c r="H99" s="29">
        <v>1</v>
      </c>
      <c r="I99" s="29" t="s">
        <v>655</v>
      </c>
      <c r="J99" s="29" t="s">
        <v>655</v>
      </c>
      <c r="K99" s="37"/>
      <c r="L99" s="29" t="s">
        <v>755</v>
      </c>
      <c r="M99" s="29" t="s">
        <v>673</v>
      </c>
      <c r="N99" s="29" t="s">
        <v>673</v>
      </c>
      <c r="O99" s="37"/>
      <c r="P99" s="37"/>
    </row>
    <row r="100" spans="2:17" x14ac:dyDescent="0.4">
      <c r="B100" s="2" t="s">
        <v>528</v>
      </c>
      <c r="C100" s="29" t="s">
        <v>749</v>
      </c>
      <c r="D100" s="36">
        <v>0.45500000000000002</v>
      </c>
      <c r="E100" s="57" t="s">
        <v>749</v>
      </c>
      <c r="F100" s="29"/>
      <c r="G100" s="37"/>
      <c r="H100" s="29" t="s">
        <v>663</v>
      </c>
      <c r="I100" s="29" t="s">
        <v>673</v>
      </c>
      <c r="J100" s="29" t="s">
        <v>673</v>
      </c>
      <c r="K100" s="37"/>
      <c r="L100" s="29" t="s">
        <v>756</v>
      </c>
      <c r="M100" s="29" t="s">
        <v>673</v>
      </c>
      <c r="N100" s="29" t="s">
        <v>673</v>
      </c>
      <c r="O100" s="37"/>
      <c r="P100" s="37"/>
    </row>
    <row r="101" spans="2:17" x14ac:dyDescent="0.4">
      <c r="B101" s="2" t="s">
        <v>74</v>
      </c>
      <c r="C101" s="29" t="s">
        <v>749</v>
      </c>
      <c r="D101" s="36">
        <v>0.46200000000000002</v>
      </c>
      <c r="E101" s="57" t="s">
        <v>750</v>
      </c>
      <c r="F101" s="29"/>
      <c r="G101" s="37"/>
      <c r="H101" s="29" t="s">
        <v>663</v>
      </c>
      <c r="I101" s="29" t="s">
        <v>673</v>
      </c>
      <c r="J101" s="29" t="s">
        <v>673</v>
      </c>
      <c r="K101" s="37"/>
      <c r="L101" s="29" t="s">
        <v>755</v>
      </c>
      <c r="M101" s="29" t="s">
        <v>673</v>
      </c>
      <c r="N101" s="29" t="s">
        <v>655</v>
      </c>
      <c r="O101" s="37"/>
      <c r="P101" s="37"/>
    </row>
    <row r="102" spans="2:17" x14ac:dyDescent="0.4">
      <c r="B102" s="2" t="s">
        <v>75</v>
      </c>
      <c r="C102" s="29" t="s">
        <v>749</v>
      </c>
      <c r="D102" s="36">
        <v>0.44400000000000001</v>
      </c>
      <c r="E102" s="57" t="s">
        <v>750</v>
      </c>
      <c r="F102" s="29"/>
      <c r="G102" s="37"/>
      <c r="H102" s="29" t="s">
        <v>663</v>
      </c>
      <c r="I102" s="29" t="s">
        <v>655</v>
      </c>
      <c r="J102" s="29" t="s">
        <v>655</v>
      </c>
      <c r="K102" s="37"/>
      <c r="L102" s="29" t="s">
        <v>756</v>
      </c>
      <c r="M102" s="29" t="s">
        <v>673</v>
      </c>
      <c r="N102" s="29" t="s">
        <v>655</v>
      </c>
      <c r="O102" s="37"/>
      <c r="P102" s="37"/>
    </row>
    <row r="103" spans="2:17" x14ac:dyDescent="0.4">
      <c r="B103" s="2" t="s">
        <v>76</v>
      </c>
      <c r="C103" s="29" t="s">
        <v>749</v>
      </c>
      <c r="D103" s="36">
        <v>0.5</v>
      </c>
      <c r="E103" s="57" t="s">
        <v>749</v>
      </c>
      <c r="F103" s="29"/>
      <c r="G103" s="37"/>
      <c r="H103" s="29" t="s">
        <v>663</v>
      </c>
      <c r="I103" s="29" t="s">
        <v>655</v>
      </c>
      <c r="J103" s="29" t="s">
        <v>655</v>
      </c>
      <c r="K103" s="37"/>
      <c r="L103" s="29" t="s">
        <v>754</v>
      </c>
      <c r="M103" s="29" t="s">
        <v>673</v>
      </c>
      <c r="N103" s="29" t="s">
        <v>673</v>
      </c>
      <c r="O103" s="37"/>
      <c r="P103" s="37"/>
    </row>
    <row r="104" spans="2:17" x14ac:dyDescent="0.4">
      <c r="B104" s="2" t="s">
        <v>77</v>
      </c>
      <c r="C104" s="29" t="s">
        <v>749</v>
      </c>
      <c r="D104" s="36">
        <v>0.45500000000000002</v>
      </c>
      <c r="E104" s="57" t="s">
        <v>749</v>
      </c>
      <c r="F104" s="29"/>
      <c r="G104" s="37"/>
      <c r="H104" s="29" t="s">
        <v>663</v>
      </c>
      <c r="I104" s="29" t="s">
        <v>673</v>
      </c>
      <c r="J104" s="29" t="s">
        <v>655</v>
      </c>
      <c r="K104" s="37"/>
      <c r="L104" s="29" t="s">
        <v>754</v>
      </c>
      <c r="M104" s="29" t="s">
        <v>673</v>
      </c>
      <c r="N104" s="29" t="s">
        <v>655</v>
      </c>
      <c r="O104" s="37"/>
      <c r="P104" s="37"/>
    </row>
    <row r="105" spans="2:17" x14ac:dyDescent="0.4">
      <c r="B105" s="34" t="s">
        <v>741</v>
      </c>
      <c r="C105" s="35"/>
      <c r="D105" s="63" t="s">
        <v>740</v>
      </c>
      <c r="E105" s="64" t="s">
        <v>742</v>
      </c>
      <c r="F105" s="35" t="s">
        <v>713</v>
      </c>
      <c r="G105" s="35"/>
      <c r="H105" s="35"/>
      <c r="I105" s="35"/>
      <c r="J105" s="39" t="s">
        <v>743</v>
      </c>
      <c r="K105" s="35" t="s">
        <v>714</v>
      </c>
      <c r="L105" s="35"/>
      <c r="M105" s="35"/>
      <c r="N105" s="35"/>
      <c r="O105" s="35"/>
      <c r="P105" s="35"/>
    </row>
    <row r="107" spans="2:17" x14ac:dyDescent="0.4">
      <c r="B107" s="81" t="s">
        <v>698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15"/>
      <c r="Q107"/>
    </row>
    <row r="108" spans="2:17" x14ac:dyDescent="0.4">
      <c r="B108" s="24" t="s">
        <v>679</v>
      </c>
      <c r="C108" s="81" t="s">
        <v>650</v>
      </c>
      <c r="D108" s="81"/>
      <c r="E108" s="81"/>
      <c r="F108" s="81"/>
      <c r="G108" s="15"/>
      <c r="H108" s="81" t="s">
        <v>651</v>
      </c>
      <c r="I108" s="81"/>
      <c r="J108" s="81"/>
      <c r="K108" s="81"/>
      <c r="L108" s="81" t="s">
        <v>652</v>
      </c>
      <c r="M108" s="81"/>
      <c r="N108" s="81"/>
      <c r="O108" s="15"/>
      <c r="P108" s="15"/>
    </row>
    <row r="109" spans="2:17" x14ac:dyDescent="0.4">
      <c r="B109" s="2" t="s">
        <v>4</v>
      </c>
      <c r="C109" s="2" t="s">
        <v>753</v>
      </c>
      <c r="D109" s="2" t="s">
        <v>670</v>
      </c>
      <c r="E109" s="2" t="s">
        <v>671</v>
      </c>
      <c r="F109" s="2" t="s">
        <v>672</v>
      </c>
      <c r="G109" s="24" t="s">
        <v>680</v>
      </c>
      <c r="H109" s="2" t="s">
        <v>764</v>
      </c>
      <c r="I109" s="2" t="s">
        <v>744</v>
      </c>
      <c r="J109" s="2" t="s">
        <v>746</v>
      </c>
      <c r="K109" s="24" t="s">
        <v>681</v>
      </c>
      <c r="L109" s="2" t="s">
        <v>747</v>
      </c>
      <c r="M109" s="2" t="s">
        <v>674</v>
      </c>
      <c r="N109" s="22" t="s">
        <v>748</v>
      </c>
      <c r="O109" s="24" t="s">
        <v>682</v>
      </c>
      <c r="P109" s="24" t="s">
        <v>683</v>
      </c>
    </row>
    <row r="110" spans="2:17" x14ac:dyDescent="0.4">
      <c r="B110" s="2" t="s">
        <v>5</v>
      </c>
      <c r="C110" s="29">
        <f t="shared" ref="C110:C141" si="0">IF(C5="N/A",0,IF(C5="Metric Only",0.3,IF(C5="Aspirational",0.6,IF(C5="Formal",1))))</f>
        <v>1</v>
      </c>
      <c r="D110" s="29">
        <f t="shared" ref="D110:D141" si="1">IF(D5=0,0,IF(D5&gt;=0.6,1,IF(D5&gt;=0.5,0.75,IF(D5&gt;=0.4,0.5,IF(D5&gt;=0.3,0.25,IF(D5&lt;0.3,0.1))))))</f>
        <v>0.5</v>
      </c>
      <c r="E110">
        <f>IF(E5="N/A",0,IF(E5="Metric Only",0.3,IF(E5="Aspirational",0.6,IF(E5="Formal",1))))</f>
        <v>1</v>
      </c>
      <c r="F110" s="29"/>
      <c r="G110" s="51">
        <f>(C110+D110+E110+F110)/4</f>
        <v>0.625</v>
      </c>
      <c r="H110" s="29">
        <f t="shared" ref="H110:H141" si="2">IF(H5="None",0,IF(H5=1,1,IF(H5=2,1.2)))</f>
        <v>1</v>
      </c>
      <c r="I110" s="29">
        <f t="shared" ref="I110:J129" si="3">IF(I5="",0,IF(I5="No",0,IF(I5="Yes",1)))</f>
        <v>0</v>
      </c>
      <c r="J110" s="29">
        <f t="shared" si="3"/>
        <v>0</v>
      </c>
      <c r="K110" s="65">
        <f>(H110+I110+J110)/3</f>
        <v>0.33333333333333331</v>
      </c>
      <c r="L110" s="29">
        <f t="shared" ref="L110:L141" si="4">IF(L5="Not Linked",0,IF(L5="Partially Linked",0.5,IF(L5="Linked",1)))</f>
        <v>1</v>
      </c>
      <c r="M110" s="29">
        <f t="shared" ref="M110:M141" si="5">IF(M5="No",0,IF(M5="Yes",1))</f>
        <v>1</v>
      </c>
      <c r="N110" s="29">
        <f t="shared" ref="N110:N141" si="6">IF(N5="",0,IF(N5="No",0,IF(N5="Yes",1)))</f>
        <v>0</v>
      </c>
      <c r="O110" s="51">
        <f t="shared" ref="O110:O141" si="7">(L110+M110+N110)/3</f>
        <v>0.66666666666666663</v>
      </c>
      <c r="P110" s="51">
        <f>(Table48[[#This Row],[S1 Score]]+Table48[[#This Row],[S2 Score]]+Table48[[#This Row],[S3 Score]])/3</f>
        <v>0.54166666666666663</v>
      </c>
    </row>
    <row r="111" spans="2:17" x14ac:dyDescent="0.4">
      <c r="B111" s="2" t="s">
        <v>6</v>
      </c>
      <c r="C111" s="29">
        <f t="shared" si="0"/>
        <v>1</v>
      </c>
      <c r="D111">
        <f t="shared" si="1"/>
        <v>0.5</v>
      </c>
      <c r="E111">
        <f t="shared" ref="E111:E141" si="8">IF(E6="N/A",0,IF(E6="Metric Only",0.3,IF(E6="Aspirational",0.6,IF(E6="Formal",1))))</f>
        <v>0.6</v>
      </c>
      <c r="F111" s="29"/>
      <c r="G111" s="51">
        <f t="shared" ref="G111:G141" si="9">(C111+D111+E111+F111)/4</f>
        <v>0.52500000000000002</v>
      </c>
      <c r="H111" s="29">
        <f t="shared" si="2"/>
        <v>0</v>
      </c>
      <c r="I111" s="29">
        <f t="shared" si="3"/>
        <v>0</v>
      </c>
      <c r="J111" s="29">
        <f t="shared" si="3"/>
        <v>0</v>
      </c>
      <c r="K111" s="65">
        <f t="shared" ref="K111:K174" si="10">(H111+I111+J111)/3</f>
        <v>0</v>
      </c>
      <c r="L111" s="29">
        <f t="shared" si="4"/>
        <v>0.5</v>
      </c>
      <c r="M111" s="29">
        <f t="shared" si="5"/>
        <v>1</v>
      </c>
      <c r="N111" s="29">
        <f t="shared" si="6"/>
        <v>1</v>
      </c>
      <c r="O111" s="51">
        <f t="shared" si="7"/>
        <v>0.83333333333333337</v>
      </c>
      <c r="P111" s="51">
        <f>(Table48[[#This Row],[S1 Score]]+Table48[[#This Row],[S2 Score]]+Table48[[#This Row],[S3 Score]])/3</f>
        <v>0.45277777777777778</v>
      </c>
    </row>
    <row r="112" spans="2:17" x14ac:dyDescent="0.4">
      <c r="B112" s="2" t="s">
        <v>94</v>
      </c>
      <c r="C112" s="29">
        <f t="shared" si="0"/>
        <v>0.6</v>
      </c>
      <c r="D112">
        <f t="shared" si="1"/>
        <v>0.25</v>
      </c>
      <c r="E112">
        <f t="shared" si="8"/>
        <v>0.6</v>
      </c>
      <c r="F112" s="29"/>
      <c r="G112" s="51">
        <f t="shared" si="9"/>
        <v>0.36249999999999999</v>
      </c>
      <c r="H112" s="29">
        <f t="shared" si="2"/>
        <v>0</v>
      </c>
      <c r="I112" s="29">
        <f t="shared" si="3"/>
        <v>0</v>
      </c>
      <c r="J112" s="29">
        <f t="shared" si="3"/>
        <v>0</v>
      </c>
      <c r="K112" s="65">
        <f t="shared" si="10"/>
        <v>0</v>
      </c>
      <c r="L112" s="29">
        <f t="shared" si="4"/>
        <v>0</v>
      </c>
      <c r="M112" s="29">
        <f t="shared" si="5"/>
        <v>1</v>
      </c>
      <c r="N112" s="29">
        <f t="shared" si="6"/>
        <v>0</v>
      </c>
      <c r="O112" s="51">
        <f t="shared" si="7"/>
        <v>0.33333333333333331</v>
      </c>
      <c r="P112" s="51">
        <f>(Table48[[#This Row],[S1 Score]]+Table48[[#This Row],[S2 Score]]+Table48[[#This Row],[S3 Score]])/3</f>
        <v>0.23194444444444443</v>
      </c>
    </row>
    <row r="113" spans="2:16" x14ac:dyDescent="0.4">
      <c r="B113" s="2" t="s">
        <v>7</v>
      </c>
      <c r="C113" s="29">
        <f t="shared" si="0"/>
        <v>0</v>
      </c>
      <c r="D113">
        <f t="shared" si="1"/>
        <v>0</v>
      </c>
      <c r="E113">
        <f t="shared" si="8"/>
        <v>1</v>
      </c>
      <c r="F113" s="29"/>
      <c r="G113" s="51">
        <f t="shared" si="9"/>
        <v>0.25</v>
      </c>
      <c r="H113" s="29">
        <f t="shared" si="2"/>
        <v>0</v>
      </c>
      <c r="I113" s="29">
        <f t="shared" si="3"/>
        <v>0</v>
      </c>
      <c r="J113" s="29">
        <f t="shared" si="3"/>
        <v>0</v>
      </c>
      <c r="K113" s="65">
        <f t="shared" si="10"/>
        <v>0</v>
      </c>
      <c r="L113" s="29">
        <f t="shared" si="4"/>
        <v>0.5</v>
      </c>
      <c r="M113" s="29">
        <f t="shared" si="5"/>
        <v>1</v>
      </c>
      <c r="N113" s="29">
        <f t="shared" si="6"/>
        <v>0</v>
      </c>
      <c r="O113" s="51">
        <f t="shared" si="7"/>
        <v>0.5</v>
      </c>
      <c r="P113" s="51">
        <f>(Table48[[#This Row],[S1 Score]]+Table48[[#This Row],[S2 Score]]+Table48[[#This Row],[S3 Score]])/3</f>
        <v>0.25</v>
      </c>
    </row>
    <row r="114" spans="2:16" x14ac:dyDescent="0.4">
      <c r="B114" s="2" t="s">
        <v>8</v>
      </c>
      <c r="C114" s="29">
        <f t="shared" si="0"/>
        <v>1</v>
      </c>
      <c r="D114">
        <f t="shared" si="1"/>
        <v>0.5</v>
      </c>
      <c r="E114">
        <f t="shared" si="8"/>
        <v>1</v>
      </c>
      <c r="F114" s="29"/>
      <c r="G114" s="51">
        <f t="shared" si="9"/>
        <v>0.625</v>
      </c>
      <c r="H114" s="29">
        <f t="shared" si="2"/>
        <v>0</v>
      </c>
      <c r="I114" s="29">
        <f t="shared" si="3"/>
        <v>1</v>
      </c>
      <c r="J114" s="29">
        <f t="shared" si="3"/>
        <v>0</v>
      </c>
      <c r="K114" s="65">
        <f t="shared" si="10"/>
        <v>0.33333333333333331</v>
      </c>
      <c r="L114" s="29">
        <f t="shared" si="4"/>
        <v>0.5</v>
      </c>
      <c r="M114" s="29">
        <f t="shared" si="5"/>
        <v>1</v>
      </c>
      <c r="N114" s="29">
        <f t="shared" si="6"/>
        <v>0</v>
      </c>
      <c r="O114" s="51">
        <f t="shared" si="7"/>
        <v>0.5</v>
      </c>
      <c r="P114" s="51">
        <f>(Table48[[#This Row],[S1 Score]]+Table48[[#This Row],[S2 Score]]+Table48[[#This Row],[S3 Score]])/3</f>
        <v>0.4861111111111111</v>
      </c>
    </row>
    <row r="115" spans="2:16" x14ac:dyDescent="0.4">
      <c r="B115" s="2" t="s">
        <v>9</v>
      </c>
      <c r="C115" s="29">
        <f t="shared" si="0"/>
        <v>1</v>
      </c>
      <c r="D115">
        <f t="shared" si="1"/>
        <v>0.25</v>
      </c>
      <c r="E115">
        <f t="shared" si="8"/>
        <v>0.6</v>
      </c>
      <c r="F115" s="38"/>
      <c r="G115" s="51">
        <f t="shared" si="9"/>
        <v>0.46250000000000002</v>
      </c>
      <c r="H115" s="29">
        <f t="shared" si="2"/>
        <v>0</v>
      </c>
      <c r="I115" s="29">
        <f t="shared" si="3"/>
        <v>0</v>
      </c>
      <c r="J115" s="29">
        <f t="shared" si="3"/>
        <v>0</v>
      </c>
      <c r="K115" s="65">
        <f t="shared" si="10"/>
        <v>0</v>
      </c>
      <c r="L115" s="29">
        <f t="shared" si="4"/>
        <v>0</v>
      </c>
      <c r="M115" s="29">
        <f t="shared" si="5"/>
        <v>1</v>
      </c>
      <c r="N115" s="29">
        <f t="shared" si="6"/>
        <v>0</v>
      </c>
      <c r="O115" s="51">
        <f t="shared" si="7"/>
        <v>0.33333333333333331</v>
      </c>
      <c r="P115" s="51">
        <f>(Table48[[#This Row],[S1 Score]]+Table48[[#This Row],[S2 Score]]+Table48[[#This Row],[S3 Score]])/3</f>
        <v>0.26527777777777778</v>
      </c>
    </row>
    <row r="116" spans="2:16" x14ac:dyDescent="0.4">
      <c r="B116" s="2" t="s">
        <v>10</v>
      </c>
      <c r="C116" s="29">
        <f t="shared" si="0"/>
        <v>1</v>
      </c>
      <c r="D116">
        <f t="shared" si="1"/>
        <v>0.1</v>
      </c>
      <c r="E116">
        <f t="shared" si="8"/>
        <v>0.6</v>
      </c>
      <c r="F116" s="38"/>
      <c r="G116" s="51">
        <f t="shared" si="9"/>
        <v>0.42500000000000004</v>
      </c>
      <c r="H116" s="29">
        <f t="shared" si="2"/>
        <v>0</v>
      </c>
      <c r="I116" s="29">
        <f t="shared" si="3"/>
        <v>0</v>
      </c>
      <c r="J116" s="29">
        <f t="shared" si="3"/>
        <v>0</v>
      </c>
      <c r="K116" s="65">
        <f t="shared" si="10"/>
        <v>0</v>
      </c>
      <c r="L116" s="29">
        <f t="shared" si="4"/>
        <v>0.5</v>
      </c>
      <c r="M116" s="29">
        <f t="shared" si="5"/>
        <v>1</v>
      </c>
      <c r="N116" s="29">
        <f t="shared" si="6"/>
        <v>0</v>
      </c>
      <c r="O116" s="51">
        <f t="shared" si="7"/>
        <v>0.5</v>
      </c>
      <c r="P116" s="51">
        <f>(Table48[[#This Row],[S1 Score]]+Table48[[#This Row],[S2 Score]]+Table48[[#This Row],[S3 Score]])/3</f>
        <v>0.30833333333333335</v>
      </c>
    </row>
    <row r="117" spans="2:16" x14ac:dyDescent="0.4">
      <c r="B117" s="2" t="s">
        <v>11</v>
      </c>
      <c r="C117" s="29">
        <f t="shared" si="0"/>
        <v>1</v>
      </c>
      <c r="D117">
        <f t="shared" si="1"/>
        <v>1</v>
      </c>
      <c r="E117">
        <f t="shared" si="8"/>
        <v>0.6</v>
      </c>
      <c r="F117" s="38"/>
      <c r="G117" s="51">
        <f t="shared" si="9"/>
        <v>0.65</v>
      </c>
      <c r="H117" s="29">
        <f t="shared" si="2"/>
        <v>0</v>
      </c>
      <c r="I117" s="29">
        <f t="shared" si="3"/>
        <v>0</v>
      </c>
      <c r="J117" s="29">
        <f t="shared" si="3"/>
        <v>1</v>
      </c>
      <c r="K117" s="65">
        <f t="shared" si="10"/>
        <v>0.33333333333333331</v>
      </c>
      <c r="L117" s="29">
        <f t="shared" si="4"/>
        <v>0</v>
      </c>
      <c r="M117" s="29">
        <f t="shared" si="5"/>
        <v>1</v>
      </c>
      <c r="N117" s="29">
        <f t="shared" si="6"/>
        <v>0</v>
      </c>
      <c r="O117" s="51">
        <f t="shared" si="7"/>
        <v>0.33333333333333331</v>
      </c>
      <c r="P117" s="51">
        <f>(Table48[[#This Row],[S1 Score]]+Table48[[#This Row],[S2 Score]]+Table48[[#This Row],[S3 Score]])/3</f>
        <v>0.43888888888888888</v>
      </c>
    </row>
    <row r="118" spans="2:16" x14ac:dyDescent="0.4">
      <c r="B118" s="2" t="s">
        <v>12</v>
      </c>
      <c r="C118" s="29">
        <f t="shared" si="0"/>
        <v>1</v>
      </c>
      <c r="D118">
        <f t="shared" si="1"/>
        <v>0.75</v>
      </c>
      <c r="E118">
        <f t="shared" si="8"/>
        <v>0.6</v>
      </c>
      <c r="F118" s="38"/>
      <c r="G118" s="51">
        <f t="shared" si="9"/>
        <v>0.58750000000000002</v>
      </c>
      <c r="H118" s="29">
        <f t="shared" si="2"/>
        <v>1</v>
      </c>
      <c r="I118" s="29">
        <f t="shared" si="3"/>
        <v>1</v>
      </c>
      <c r="J118" s="29">
        <f t="shared" si="3"/>
        <v>1</v>
      </c>
      <c r="K118" s="65">
        <f t="shared" si="10"/>
        <v>1</v>
      </c>
      <c r="L118" s="29">
        <f t="shared" si="4"/>
        <v>1</v>
      </c>
      <c r="M118" s="29">
        <f t="shared" si="5"/>
        <v>1</v>
      </c>
      <c r="N118" s="29">
        <f t="shared" si="6"/>
        <v>0</v>
      </c>
      <c r="O118" s="51">
        <f t="shared" si="7"/>
        <v>0.66666666666666663</v>
      </c>
      <c r="P118" s="51">
        <f>(Table48[[#This Row],[S1 Score]]+Table48[[#This Row],[S2 Score]]+Table48[[#This Row],[S3 Score]])/3</f>
        <v>0.75138888888888877</v>
      </c>
    </row>
    <row r="119" spans="2:16" x14ac:dyDescent="0.4">
      <c r="B119" s="2" t="s">
        <v>13</v>
      </c>
      <c r="C119" s="29">
        <f t="shared" si="0"/>
        <v>1</v>
      </c>
      <c r="D119">
        <f t="shared" si="1"/>
        <v>0.75</v>
      </c>
      <c r="E119">
        <f t="shared" si="8"/>
        <v>1</v>
      </c>
      <c r="F119" s="29"/>
      <c r="G119" s="51">
        <f t="shared" si="9"/>
        <v>0.6875</v>
      </c>
      <c r="H119" s="29">
        <f t="shared" si="2"/>
        <v>0</v>
      </c>
      <c r="I119" s="29">
        <f t="shared" si="3"/>
        <v>0</v>
      </c>
      <c r="J119" s="29">
        <f t="shared" si="3"/>
        <v>0</v>
      </c>
      <c r="K119" s="65">
        <f t="shared" si="10"/>
        <v>0</v>
      </c>
      <c r="L119" s="29">
        <f t="shared" si="4"/>
        <v>1</v>
      </c>
      <c r="M119" s="29">
        <f t="shared" si="5"/>
        <v>1</v>
      </c>
      <c r="N119" s="29">
        <f t="shared" si="6"/>
        <v>1</v>
      </c>
      <c r="O119" s="51">
        <f t="shared" si="7"/>
        <v>1</v>
      </c>
      <c r="P119" s="51">
        <f>(Table48[[#This Row],[S1 Score]]+Table48[[#This Row],[S2 Score]]+Table48[[#This Row],[S3 Score]])/3</f>
        <v>0.5625</v>
      </c>
    </row>
    <row r="120" spans="2:16" x14ac:dyDescent="0.4">
      <c r="B120" s="2" t="s">
        <v>14</v>
      </c>
      <c r="C120" s="29">
        <f t="shared" si="0"/>
        <v>1</v>
      </c>
      <c r="D120">
        <f t="shared" si="1"/>
        <v>0.5</v>
      </c>
      <c r="E120">
        <f t="shared" si="8"/>
        <v>1</v>
      </c>
      <c r="F120" s="29"/>
      <c r="G120" s="51">
        <f t="shared" si="9"/>
        <v>0.625</v>
      </c>
      <c r="H120" s="29">
        <f t="shared" si="2"/>
        <v>0</v>
      </c>
      <c r="I120" s="29">
        <f t="shared" si="3"/>
        <v>0</v>
      </c>
      <c r="J120" s="29">
        <f t="shared" si="3"/>
        <v>0</v>
      </c>
      <c r="K120" s="65">
        <f t="shared" si="10"/>
        <v>0</v>
      </c>
      <c r="L120" s="29">
        <f t="shared" si="4"/>
        <v>1</v>
      </c>
      <c r="M120" s="29">
        <f t="shared" si="5"/>
        <v>1</v>
      </c>
      <c r="N120" s="29">
        <f t="shared" si="6"/>
        <v>1</v>
      </c>
      <c r="O120" s="51">
        <f t="shared" si="7"/>
        <v>1</v>
      </c>
      <c r="P120" s="51">
        <f>(Table48[[#This Row],[S1 Score]]+Table48[[#This Row],[S2 Score]]+Table48[[#This Row],[S3 Score]])/3</f>
        <v>0.54166666666666663</v>
      </c>
    </row>
    <row r="121" spans="2:16" x14ac:dyDescent="0.4">
      <c r="B121" s="2" t="s">
        <v>139</v>
      </c>
      <c r="C121" s="29">
        <f t="shared" si="0"/>
        <v>1</v>
      </c>
      <c r="D121">
        <f t="shared" si="1"/>
        <v>0.5</v>
      </c>
      <c r="E121">
        <f t="shared" si="8"/>
        <v>1</v>
      </c>
      <c r="F121" s="29"/>
      <c r="G121" s="51">
        <f t="shared" si="9"/>
        <v>0.625</v>
      </c>
      <c r="H121" s="29">
        <f t="shared" si="2"/>
        <v>0</v>
      </c>
      <c r="I121" s="29">
        <f t="shared" si="3"/>
        <v>0</v>
      </c>
      <c r="J121" s="29">
        <f t="shared" si="3"/>
        <v>0</v>
      </c>
      <c r="K121" s="65">
        <f t="shared" si="10"/>
        <v>0</v>
      </c>
      <c r="L121" s="29">
        <f t="shared" si="4"/>
        <v>0.5</v>
      </c>
      <c r="M121" s="29">
        <f t="shared" si="5"/>
        <v>1</v>
      </c>
      <c r="N121" s="29">
        <f t="shared" si="6"/>
        <v>0</v>
      </c>
      <c r="O121" s="51">
        <f t="shared" si="7"/>
        <v>0.5</v>
      </c>
      <c r="P121" s="51">
        <f>(Table48[[#This Row],[S1 Score]]+Table48[[#This Row],[S2 Score]]+Table48[[#This Row],[S3 Score]])/3</f>
        <v>0.375</v>
      </c>
    </row>
    <row r="122" spans="2:16" x14ac:dyDescent="0.4">
      <c r="B122" s="2" t="s">
        <v>15</v>
      </c>
      <c r="C122" s="29">
        <f t="shared" si="0"/>
        <v>1</v>
      </c>
      <c r="D122">
        <f t="shared" si="1"/>
        <v>0.5</v>
      </c>
      <c r="E122">
        <f t="shared" si="8"/>
        <v>0.6</v>
      </c>
      <c r="F122" s="29"/>
      <c r="G122" s="51">
        <f t="shared" si="9"/>
        <v>0.52500000000000002</v>
      </c>
      <c r="H122" s="29">
        <f t="shared" si="2"/>
        <v>0</v>
      </c>
      <c r="I122" s="29">
        <f t="shared" si="3"/>
        <v>1</v>
      </c>
      <c r="J122" s="29">
        <f t="shared" si="3"/>
        <v>0</v>
      </c>
      <c r="K122" s="65">
        <f t="shared" si="10"/>
        <v>0.33333333333333331</v>
      </c>
      <c r="L122" s="29">
        <f t="shared" si="4"/>
        <v>1</v>
      </c>
      <c r="M122" s="29">
        <f t="shared" si="5"/>
        <v>1</v>
      </c>
      <c r="N122" s="29">
        <f t="shared" si="6"/>
        <v>0</v>
      </c>
      <c r="O122" s="51">
        <f t="shared" si="7"/>
        <v>0.66666666666666663</v>
      </c>
      <c r="P122" s="51">
        <f>(Table48[[#This Row],[S1 Score]]+Table48[[#This Row],[S2 Score]]+Table48[[#This Row],[S3 Score]])/3</f>
        <v>0.5083333333333333</v>
      </c>
    </row>
    <row r="123" spans="2:16" x14ac:dyDescent="0.4">
      <c r="B123" s="2" t="s">
        <v>16</v>
      </c>
      <c r="C123" s="29">
        <f t="shared" si="0"/>
        <v>1</v>
      </c>
      <c r="D123">
        <f t="shared" si="1"/>
        <v>0.5</v>
      </c>
      <c r="E123">
        <f t="shared" si="8"/>
        <v>1</v>
      </c>
      <c r="F123" s="29"/>
      <c r="G123" s="51">
        <f t="shared" si="9"/>
        <v>0.625</v>
      </c>
      <c r="H123" s="29">
        <f t="shared" si="2"/>
        <v>1</v>
      </c>
      <c r="I123" s="29">
        <f t="shared" si="3"/>
        <v>0</v>
      </c>
      <c r="J123" s="29">
        <f t="shared" si="3"/>
        <v>0</v>
      </c>
      <c r="K123" s="65">
        <f t="shared" si="10"/>
        <v>0.33333333333333331</v>
      </c>
      <c r="L123" s="29">
        <f t="shared" si="4"/>
        <v>1</v>
      </c>
      <c r="M123" s="29">
        <f t="shared" si="5"/>
        <v>1</v>
      </c>
      <c r="N123" s="29">
        <f t="shared" si="6"/>
        <v>1</v>
      </c>
      <c r="O123" s="51">
        <f t="shared" si="7"/>
        <v>1</v>
      </c>
      <c r="P123" s="51">
        <f>(Table48[[#This Row],[S1 Score]]+Table48[[#This Row],[S2 Score]]+Table48[[#This Row],[S3 Score]])/3</f>
        <v>0.65277777777777779</v>
      </c>
    </row>
    <row r="124" spans="2:16" x14ac:dyDescent="0.4">
      <c r="B124" s="2" t="s">
        <v>17</v>
      </c>
      <c r="C124" s="29">
        <f t="shared" si="0"/>
        <v>1</v>
      </c>
      <c r="D124">
        <f t="shared" si="1"/>
        <v>0.75</v>
      </c>
      <c r="E124">
        <f t="shared" si="8"/>
        <v>0.6</v>
      </c>
      <c r="F124" s="29"/>
      <c r="G124" s="51">
        <f t="shared" si="9"/>
        <v>0.58750000000000002</v>
      </c>
      <c r="H124" s="29">
        <f t="shared" si="2"/>
        <v>0</v>
      </c>
      <c r="I124" s="29">
        <f t="shared" si="3"/>
        <v>0</v>
      </c>
      <c r="J124" s="29">
        <f t="shared" si="3"/>
        <v>0</v>
      </c>
      <c r="K124" s="65">
        <f t="shared" si="10"/>
        <v>0</v>
      </c>
      <c r="L124" s="29">
        <f t="shared" si="4"/>
        <v>0</v>
      </c>
      <c r="M124" s="29">
        <f t="shared" si="5"/>
        <v>1</v>
      </c>
      <c r="N124" s="29">
        <f t="shared" si="6"/>
        <v>1</v>
      </c>
      <c r="O124" s="51">
        <f t="shared" si="7"/>
        <v>0.66666666666666663</v>
      </c>
      <c r="P124" s="51">
        <f>(Table48[[#This Row],[S1 Score]]+Table48[[#This Row],[S2 Score]]+Table48[[#This Row],[S3 Score]])/3</f>
        <v>0.41805555555555557</v>
      </c>
    </row>
    <row r="125" spans="2:16" x14ac:dyDescent="0.4">
      <c r="B125" s="2" t="s">
        <v>18</v>
      </c>
      <c r="C125" s="29">
        <f t="shared" si="0"/>
        <v>1</v>
      </c>
      <c r="D125">
        <f t="shared" si="1"/>
        <v>0.5</v>
      </c>
      <c r="E125">
        <f t="shared" si="8"/>
        <v>1</v>
      </c>
      <c r="F125" s="29"/>
      <c r="G125" s="51">
        <f t="shared" si="9"/>
        <v>0.625</v>
      </c>
      <c r="H125" s="29">
        <f t="shared" si="2"/>
        <v>0</v>
      </c>
      <c r="I125" s="29">
        <f t="shared" si="3"/>
        <v>0</v>
      </c>
      <c r="J125" s="29">
        <f t="shared" si="3"/>
        <v>0</v>
      </c>
      <c r="K125" s="65">
        <f t="shared" si="10"/>
        <v>0</v>
      </c>
      <c r="L125" s="29">
        <f t="shared" si="4"/>
        <v>1</v>
      </c>
      <c r="M125" s="29">
        <f t="shared" si="5"/>
        <v>1</v>
      </c>
      <c r="N125" s="29">
        <f t="shared" si="6"/>
        <v>1</v>
      </c>
      <c r="O125" s="51">
        <f t="shared" si="7"/>
        <v>1</v>
      </c>
      <c r="P125" s="51">
        <f>(Table48[[#This Row],[S1 Score]]+Table48[[#This Row],[S2 Score]]+Table48[[#This Row],[S3 Score]])/3</f>
        <v>0.54166666666666663</v>
      </c>
    </row>
    <row r="126" spans="2:16" x14ac:dyDescent="0.4">
      <c r="B126" s="2" t="s">
        <v>163</v>
      </c>
      <c r="C126" s="29">
        <f t="shared" si="0"/>
        <v>1</v>
      </c>
      <c r="D126">
        <f t="shared" si="1"/>
        <v>0.5</v>
      </c>
      <c r="E126">
        <f t="shared" si="8"/>
        <v>0.6</v>
      </c>
      <c r="F126" s="29"/>
      <c r="G126" s="51">
        <f t="shared" si="9"/>
        <v>0.52500000000000002</v>
      </c>
      <c r="H126" s="29">
        <f t="shared" si="2"/>
        <v>0</v>
      </c>
      <c r="I126" s="29">
        <f t="shared" si="3"/>
        <v>0</v>
      </c>
      <c r="J126" s="29">
        <f t="shared" si="3"/>
        <v>0</v>
      </c>
      <c r="K126" s="65">
        <f t="shared" si="10"/>
        <v>0</v>
      </c>
      <c r="L126" s="29">
        <f t="shared" si="4"/>
        <v>0</v>
      </c>
      <c r="M126" s="29">
        <f t="shared" si="5"/>
        <v>1</v>
      </c>
      <c r="N126" s="29">
        <f t="shared" si="6"/>
        <v>1</v>
      </c>
      <c r="O126" s="51">
        <f t="shared" si="7"/>
        <v>0.66666666666666663</v>
      </c>
      <c r="P126" s="51">
        <f>(Table48[[#This Row],[S1 Score]]+Table48[[#This Row],[S2 Score]]+Table48[[#This Row],[S3 Score]])/3</f>
        <v>0.3972222222222222</v>
      </c>
    </row>
    <row r="127" spans="2:16" x14ac:dyDescent="0.4">
      <c r="B127" s="2" t="s">
        <v>19</v>
      </c>
      <c r="C127" s="29">
        <f t="shared" si="0"/>
        <v>1</v>
      </c>
      <c r="D127">
        <f t="shared" si="1"/>
        <v>0.25</v>
      </c>
      <c r="E127">
        <f t="shared" si="8"/>
        <v>0.6</v>
      </c>
      <c r="F127" s="29"/>
      <c r="G127" s="51">
        <f t="shared" si="9"/>
        <v>0.46250000000000002</v>
      </c>
      <c r="H127" s="29">
        <f t="shared" si="2"/>
        <v>0</v>
      </c>
      <c r="I127" s="29">
        <f t="shared" si="3"/>
        <v>0</v>
      </c>
      <c r="J127" s="29">
        <f t="shared" si="3"/>
        <v>0</v>
      </c>
      <c r="K127" s="65">
        <f t="shared" si="10"/>
        <v>0</v>
      </c>
      <c r="L127" s="29">
        <f t="shared" si="4"/>
        <v>1</v>
      </c>
      <c r="M127" s="29">
        <f t="shared" si="5"/>
        <v>1</v>
      </c>
      <c r="N127" s="29">
        <f t="shared" si="6"/>
        <v>0</v>
      </c>
      <c r="O127" s="51">
        <f t="shared" si="7"/>
        <v>0.66666666666666663</v>
      </c>
      <c r="P127" s="51">
        <f>(Table48[[#This Row],[S1 Score]]+Table48[[#This Row],[S2 Score]]+Table48[[#This Row],[S3 Score]])/3</f>
        <v>0.37638888888888888</v>
      </c>
    </row>
    <row r="128" spans="2:16" x14ac:dyDescent="0.4">
      <c r="B128" s="2" t="s">
        <v>20</v>
      </c>
      <c r="C128" s="29">
        <f t="shared" si="0"/>
        <v>1</v>
      </c>
      <c r="D128">
        <f t="shared" si="1"/>
        <v>0.75</v>
      </c>
      <c r="E128">
        <f t="shared" si="8"/>
        <v>1</v>
      </c>
      <c r="F128" s="29"/>
      <c r="G128" s="51">
        <f t="shared" si="9"/>
        <v>0.6875</v>
      </c>
      <c r="H128" s="29">
        <f t="shared" si="2"/>
        <v>0</v>
      </c>
      <c r="I128" s="29">
        <f t="shared" si="3"/>
        <v>1</v>
      </c>
      <c r="J128" s="29">
        <f t="shared" si="3"/>
        <v>1</v>
      </c>
      <c r="K128" s="65">
        <f t="shared" si="10"/>
        <v>0.66666666666666663</v>
      </c>
      <c r="L128" s="29">
        <f t="shared" si="4"/>
        <v>1</v>
      </c>
      <c r="M128" s="29">
        <f t="shared" si="5"/>
        <v>1</v>
      </c>
      <c r="N128" s="29">
        <f t="shared" si="6"/>
        <v>0</v>
      </c>
      <c r="O128" s="51">
        <f t="shared" si="7"/>
        <v>0.66666666666666663</v>
      </c>
      <c r="P128" s="51">
        <f>(Table48[[#This Row],[S1 Score]]+Table48[[#This Row],[S2 Score]]+Table48[[#This Row],[S3 Score]])/3</f>
        <v>0.67361111111111105</v>
      </c>
    </row>
    <row r="129" spans="2:16" x14ac:dyDescent="0.4">
      <c r="B129" s="2" t="s">
        <v>21</v>
      </c>
      <c r="C129" s="29">
        <f t="shared" si="0"/>
        <v>1</v>
      </c>
      <c r="D129">
        <f t="shared" si="1"/>
        <v>0.75</v>
      </c>
      <c r="E129">
        <f t="shared" si="8"/>
        <v>1</v>
      </c>
      <c r="F129" s="29"/>
      <c r="G129" s="51">
        <f t="shared" si="9"/>
        <v>0.6875</v>
      </c>
      <c r="H129" s="29">
        <f t="shared" si="2"/>
        <v>1</v>
      </c>
      <c r="I129" s="29">
        <f t="shared" si="3"/>
        <v>0</v>
      </c>
      <c r="J129" s="29">
        <f t="shared" si="3"/>
        <v>0</v>
      </c>
      <c r="K129" s="65">
        <f t="shared" si="10"/>
        <v>0.33333333333333331</v>
      </c>
      <c r="L129" s="29">
        <f t="shared" si="4"/>
        <v>0.5</v>
      </c>
      <c r="M129" s="29">
        <f t="shared" si="5"/>
        <v>1</v>
      </c>
      <c r="N129" s="29">
        <f t="shared" si="6"/>
        <v>1</v>
      </c>
      <c r="O129" s="51">
        <f t="shared" si="7"/>
        <v>0.83333333333333337</v>
      </c>
      <c r="P129" s="51">
        <f>(Table48[[#This Row],[S1 Score]]+Table48[[#This Row],[S2 Score]]+Table48[[#This Row],[S3 Score]])/3</f>
        <v>0.61805555555555547</v>
      </c>
    </row>
    <row r="130" spans="2:16" x14ac:dyDescent="0.4">
      <c r="B130" s="2" t="s">
        <v>22</v>
      </c>
      <c r="C130" s="29">
        <f t="shared" si="0"/>
        <v>0.6</v>
      </c>
      <c r="D130">
        <f t="shared" si="1"/>
        <v>0.25</v>
      </c>
      <c r="E130">
        <f t="shared" si="8"/>
        <v>1</v>
      </c>
      <c r="F130" s="29"/>
      <c r="G130" s="51">
        <f t="shared" si="9"/>
        <v>0.46250000000000002</v>
      </c>
      <c r="H130" s="29">
        <f t="shared" si="2"/>
        <v>0</v>
      </c>
      <c r="I130" s="29">
        <f t="shared" ref="I130:J149" si="11">IF(I25="",0,IF(I25="No",0,IF(I25="Yes",1)))</f>
        <v>0</v>
      </c>
      <c r="J130" s="29">
        <f t="shared" si="11"/>
        <v>0</v>
      </c>
      <c r="K130" s="65">
        <f t="shared" si="10"/>
        <v>0</v>
      </c>
      <c r="L130" s="29">
        <f t="shared" si="4"/>
        <v>0.5</v>
      </c>
      <c r="M130" s="29">
        <f t="shared" si="5"/>
        <v>1</v>
      </c>
      <c r="N130" s="29">
        <f t="shared" si="6"/>
        <v>1</v>
      </c>
      <c r="O130" s="51">
        <f t="shared" si="7"/>
        <v>0.83333333333333337</v>
      </c>
      <c r="P130" s="51">
        <f>(Table48[[#This Row],[S1 Score]]+Table48[[#This Row],[S2 Score]]+Table48[[#This Row],[S3 Score]])/3</f>
        <v>0.43194444444444446</v>
      </c>
    </row>
    <row r="131" spans="2:16" x14ac:dyDescent="0.4">
      <c r="B131" s="2" t="s">
        <v>23</v>
      </c>
      <c r="C131" s="29">
        <f t="shared" si="0"/>
        <v>1</v>
      </c>
      <c r="D131">
        <f t="shared" si="1"/>
        <v>0.75</v>
      </c>
      <c r="E131">
        <f t="shared" si="8"/>
        <v>0.6</v>
      </c>
      <c r="F131" s="29"/>
      <c r="G131" s="51">
        <f t="shared" si="9"/>
        <v>0.58750000000000002</v>
      </c>
      <c r="H131" s="29">
        <f t="shared" si="2"/>
        <v>0</v>
      </c>
      <c r="I131" s="29">
        <f t="shared" si="11"/>
        <v>0</v>
      </c>
      <c r="J131" s="29">
        <f t="shared" si="11"/>
        <v>0</v>
      </c>
      <c r="K131" s="65">
        <f t="shared" si="10"/>
        <v>0</v>
      </c>
      <c r="L131" s="29">
        <f t="shared" si="4"/>
        <v>0</v>
      </c>
      <c r="M131" s="29">
        <f t="shared" si="5"/>
        <v>1</v>
      </c>
      <c r="N131" s="29">
        <f t="shared" si="6"/>
        <v>0</v>
      </c>
      <c r="O131" s="51">
        <f t="shared" si="7"/>
        <v>0.33333333333333331</v>
      </c>
      <c r="P131" s="51">
        <f>(Table48[[#This Row],[S1 Score]]+Table48[[#This Row],[S2 Score]]+Table48[[#This Row],[S3 Score]])/3</f>
        <v>0.30694444444444446</v>
      </c>
    </row>
    <row r="132" spans="2:16" x14ac:dyDescent="0.4">
      <c r="B132" s="2" t="s">
        <v>190</v>
      </c>
      <c r="C132" s="29">
        <f t="shared" si="0"/>
        <v>1</v>
      </c>
      <c r="D132">
        <f t="shared" si="1"/>
        <v>0.75</v>
      </c>
      <c r="E132">
        <f t="shared" si="8"/>
        <v>1</v>
      </c>
      <c r="F132" s="29"/>
      <c r="G132" s="51">
        <f t="shared" si="9"/>
        <v>0.6875</v>
      </c>
      <c r="H132" s="29">
        <f t="shared" si="2"/>
        <v>1</v>
      </c>
      <c r="I132" s="29">
        <f t="shared" si="11"/>
        <v>1</v>
      </c>
      <c r="J132" s="29">
        <f t="shared" si="11"/>
        <v>1</v>
      </c>
      <c r="K132" s="65">
        <f t="shared" si="10"/>
        <v>1</v>
      </c>
      <c r="L132" s="29">
        <f t="shared" si="4"/>
        <v>1</v>
      </c>
      <c r="M132" s="29">
        <f t="shared" si="5"/>
        <v>1</v>
      </c>
      <c r="N132" s="29">
        <f t="shared" si="6"/>
        <v>1</v>
      </c>
      <c r="O132" s="51">
        <f t="shared" si="7"/>
        <v>1</v>
      </c>
      <c r="P132" s="51">
        <f>(Table48[[#This Row],[S1 Score]]+Table48[[#This Row],[S2 Score]]+Table48[[#This Row],[S3 Score]])/3</f>
        <v>0.89583333333333337</v>
      </c>
    </row>
    <row r="133" spans="2:16" x14ac:dyDescent="0.4">
      <c r="B133" s="2" t="s">
        <v>24</v>
      </c>
      <c r="C133" s="29">
        <f t="shared" si="0"/>
        <v>1</v>
      </c>
      <c r="D133">
        <f t="shared" si="1"/>
        <v>0.5</v>
      </c>
      <c r="E133">
        <f t="shared" si="8"/>
        <v>1</v>
      </c>
      <c r="F133" s="29"/>
      <c r="G133" s="51">
        <f t="shared" si="9"/>
        <v>0.625</v>
      </c>
      <c r="H133" s="29">
        <f t="shared" si="2"/>
        <v>0</v>
      </c>
      <c r="I133" s="29">
        <f t="shared" si="11"/>
        <v>0</v>
      </c>
      <c r="J133" s="29">
        <f t="shared" si="11"/>
        <v>1</v>
      </c>
      <c r="K133" s="65">
        <f t="shared" si="10"/>
        <v>0.33333333333333331</v>
      </c>
      <c r="L133" s="29">
        <f t="shared" si="4"/>
        <v>0.5</v>
      </c>
      <c r="M133" s="29">
        <f t="shared" si="5"/>
        <v>1</v>
      </c>
      <c r="N133" s="29">
        <f t="shared" si="6"/>
        <v>1</v>
      </c>
      <c r="O133" s="51">
        <f t="shared" si="7"/>
        <v>0.83333333333333337</v>
      </c>
      <c r="P133" s="51">
        <f>(Table48[[#This Row],[S1 Score]]+Table48[[#This Row],[S2 Score]]+Table48[[#This Row],[S3 Score]])/3</f>
        <v>0.59722222222222221</v>
      </c>
    </row>
    <row r="134" spans="2:16" x14ac:dyDescent="0.4">
      <c r="B134" s="2" t="s">
        <v>201</v>
      </c>
      <c r="C134" s="29">
        <f t="shared" si="0"/>
        <v>1</v>
      </c>
      <c r="D134">
        <f t="shared" si="1"/>
        <v>0.1</v>
      </c>
      <c r="E134">
        <f t="shared" si="8"/>
        <v>0.6</v>
      </c>
      <c r="F134" s="29"/>
      <c r="G134" s="51">
        <f t="shared" si="9"/>
        <v>0.42500000000000004</v>
      </c>
      <c r="H134" s="29">
        <f t="shared" si="2"/>
        <v>0</v>
      </c>
      <c r="I134" s="29">
        <f t="shared" si="11"/>
        <v>1</v>
      </c>
      <c r="J134" s="29">
        <f t="shared" si="11"/>
        <v>0</v>
      </c>
      <c r="K134" s="65">
        <f t="shared" si="10"/>
        <v>0.33333333333333331</v>
      </c>
      <c r="L134" s="29">
        <f t="shared" si="4"/>
        <v>0.5</v>
      </c>
      <c r="M134" s="29">
        <f t="shared" si="5"/>
        <v>1</v>
      </c>
      <c r="N134" s="29">
        <f t="shared" si="6"/>
        <v>0</v>
      </c>
      <c r="O134" s="51">
        <f t="shared" si="7"/>
        <v>0.5</v>
      </c>
      <c r="P134" s="51">
        <f>(Table48[[#This Row],[S1 Score]]+Table48[[#This Row],[S2 Score]]+Table48[[#This Row],[S3 Score]])/3</f>
        <v>0.41944444444444445</v>
      </c>
    </row>
    <row r="135" spans="2:16" x14ac:dyDescent="0.4">
      <c r="B135" s="2" t="s">
        <v>25</v>
      </c>
      <c r="C135" s="29">
        <f t="shared" si="0"/>
        <v>1</v>
      </c>
      <c r="D135">
        <f t="shared" si="1"/>
        <v>0.5</v>
      </c>
      <c r="E135">
        <f t="shared" si="8"/>
        <v>1</v>
      </c>
      <c r="F135" s="29"/>
      <c r="G135" s="51">
        <f t="shared" si="9"/>
        <v>0.625</v>
      </c>
      <c r="H135" s="29">
        <f t="shared" si="2"/>
        <v>0</v>
      </c>
      <c r="I135" s="29">
        <f t="shared" si="11"/>
        <v>0</v>
      </c>
      <c r="J135" s="29">
        <f t="shared" si="11"/>
        <v>0</v>
      </c>
      <c r="K135" s="65">
        <f t="shared" si="10"/>
        <v>0</v>
      </c>
      <c r="L135" s="29">
        <f t="shared" si="4"/>
        <v>0.5</v>
      </c>
      <c r="M135" s="29">
        <f t="shared" si="5"/>
        <v>1</v>
      </c>
      <c r="N135" s="29">
        <f t="shared" si="6"/>
        <v>1</v>
      </c>
      <c r="O135" s="51">
        <f t="shared" si="7"/>
        <v>0.83333333333333337</v>
      </c>
      <c r="P135" s="51">
        <f>(Table48[[#This Row],[S1 Score]]+Table48[[#This Row],[S2 Score]]+Table48[[#This Row],[S3 Score]])/3</f>
        <v>0.48611111111111116</v>
      </c>
    </row>
    <row r="136" spans="2:16" x14ac:dyDescent="0.4">
      <c r="B136" s="2" t="s">
        <v>211</v>
      </c>
      <c r="C136" s="29">
        <f t="shared" si="0"/>
        <v>1</v>
      </c>
      <c r="D136">
        <f t="shared" si="1"/>
        <v>0.75</v>
      </c>
      <c r="E136">
        <f t="shared" si="8"/>
        <v>0.6</v>
      </c>
      <c r="F136" s="29"/>
      <c r="G136" s="51">
        <f t="shared" si="9"/>
        <v>0.58750000000000002</v>
      </c>
      <c r="H136" s="29">
        <f t="shared" si="2"/>
        <v>0</v>
      </c>
      <c r="I136" s="29">
        <f t="shared" si="11"/>
        <v>0</v>
      </c>
      <c r="J136" s="29">
        <f t="shared" si="11"/>
        <v>1</v>
      </c>
      <c r="K136" s="65">
        <f t="shared" si="10"/>
        <v>0.33333333333333331</v>
      </c>
      <c r="L136" s="29">
        <f t="shared" si="4"/>
        <v>0.5</v>
      </c>
      <c r="M136" s="29">
        <f t="shared" si="5"/>
        <v>1</v>
      </c>
      <c r="N136" s="29">
        <f t="shared" si="6"/>
        <v>0</v>
      </c>
      <c r="O136" s="51">
        <f t="shared" si="7"/>
        <v>0.5</v>
      </c>
      <c r="P136" s="51">
        <f>(Table48[[#This Row],[S1 Score]]+Table48[[#This Row],[S2 Score]]+Table48[[#This Row],[S3 Score]])/3</f>
        <v>0.47361111111111115</v>
      </c>
    </row>
    <row r="137" spans="2:16" x14ac:dyDescent="0.4">
      <c r="B137" s="2" t="s">
        <v>217</v>
      </c>
      <c r="C137" s="29">
        <f t="shared" si="0"/>
        <v>1</v>
      </c>
      <c r="D137">
        <f t="shared" si="1"/>
        <v>0.25</v>
      </c>
      <c r="E137">
        <f t="shared" si="8"/>
        <v>0.6</v>
      </c>
      <c r="F137" s="29"/>
      <c r="G137" s="51">
        <f t="shared" si="9"/>
        <v>0.46250000000000002</v>
      </c>
      <c r="H137" s="29">
        <f t="shared" si="2"/>
        <v>0</v>
      </c>
      <c r="I137" s="29">
        <f t="shared" si="11"/>
        <v>0</v>
      </c>
      <c r="J137" s="29">
        <f t="shared" si="11"/>
        <v>0</v>
      </c>
      <c r="K137" s="65">
        <f t="shared" si="10"/>
        <v>0</v>
      </c>
      <c r="L137" s="29">
        <f t="shared" si="4"/>
        <v>0.5</v>
      </c>
      <c r="M137" s="29">
        <f t="shared" si="5"/>
        <v>1</v>
      </c>
      <c r="N137" s="29">
        <f t="shared" si="6"/>
        <v>1</v>
      </c>
      <c r="O137" s="51">
        <f t="shared" si="7"/>
        <v>0.83333333333333337</v>
      </c>
      <c r="P137" s="51">
        <f>(Table48[[#This Row],[S1 Score]]+Table48[[#This Row],[S2 Score]]+Table48[[#This Row],[S3 Score]])/3</f>
        <v>0.43194444444444446</v>
      </c>
    </row>
    <row r="138" spans="2:16" x14ac:dyDescent="0.4">
      <c r="B138" s="2" t="s">
        <v>223</v>
      </c>
      <c r="C138" s="29">
        <f t="shared" si="0"/>
        <v>1</v>
      </c>
      <c r="D138">
        <f t="shared" si="1"/>
        <v>0.25</v>
      </c>
      <c r="E138">
        <f t="shared" si="8"/>
        <v>0.6</v>
      </c>
      <c r="F138" s="29"/>
      <c r="G138" s="51">
        <f t="shared" si="9"/>
        <v>0.46250000000000002</v>
      </c>
      <c r="H138" s="29">
        <f t="shared" si="2"/>
        <v>0</v>
      </c>
      <c r="I138" s="29">
        <f t="shared" si="11"/>
        <v>0</v>
      </c>
      <c r="J138" s="29">
        <f t="shared" si="11"/>
        <v>0</v>
      </c>
      <c r="K138" s="65">
        <f t="shared" si="10"/>
        <v>0</v>
      </c>
      <c r="L138" s="29">
        <f t="shared" si="4"/>
        <v>0</v>
      </c>
      <c r="M138" s="29">
        <f t="shared" si="5"/>
        <v>1</v>
      </c>
      <c r="N138" s="29">
        <f t="shared" si="6"/>
        <v>0</v>
      </c>
      <c r="O138" s="51">
        <f t="shared" si="7"/>
        <v>0.33333333333333331</v>
      </c>
      <c r="P138" s="51">
        <f>(Table48[[#This Row],[S1 Score]]+Table48[[#This Row],[S2 Score]]+Table48[[#This Row],[S3 Score]])/3</f>
        <v>0.26527777777777778</v>
      </c>
    </row>
    <row r="139" spans="2:16" x14ac:dyDescent="0.4">
      <c r="B139" s="2" t="s">
        <v>27</v>
      </c>
      <c r="C139" s="29">
        <f t="shared" si="0"/>
        <v>1</v>
      </c>
      <c r="D139">
        <f t="shared" si="1"/>
        <v>1</v>
      </c>
      <c r="E139">
        <f t="shared" si="8"/>
        <v>1</v>
      </c>
      <c r="F139" s="29"/>
      <c r="G139" s="51">
        <f t="shared" si="9"/>
        <v>0.75</v>
      </c>
      <c r="H139" s="29">
        <f t="shared" si="2"/>
        <v>0</v>
      </c>
      <c r="I139" s="29">
        <f t="shared" si="11"/>
        <v>1</v>
      </c>
      <c r="J139" s="29">
        <f t="shared" si="11"/>
        <v>0</v>
      </c>
      <c r="K139" s="65">
        <f t="shared" si="10"/>
        <v>0.33333333333333331</v>
      </c>
      <c r="L139" s="29">
        <f t="shared" si="4"/>
        <v>1</v>
      </c>
      <c r="M139" s="29">
        <f t="shared" si="5"/>
        <v>1</v>
      </c>
      <c r="N139" s="29">
        <f t="shared" si="6"/>
        <v>0</v>
      </c>
      <c r="O139" s="51">
        <f t="shared" si="7"/>
        <v>0.66666666666666663</v>
      </c>
      <c r="P139" s="51">
        <f>(Table48[[#This Row],[S1 Score]]+Table48[[#This Row],[S2 Score]]+Table48[[#This Row],[S3 Score]])/3</f>
        <v>0.58333333333333337</v>
      </c>
    </row>
    <row r="140" spans="2:16" x14ac:dyDescent="0.4">
      <c r="B140" s="2" t="s">
        <v>28</v>
      </c>
      <c r="C140" s="29">
        <f t="shared" si="0"/>
        <v>0.6</v>
      </c>
      <c r="D140">
        <f t="shared" si="1"/>
        <v>0.5</v>
      </c>
      <c r="E140">
        <f t="shared" si="8"/>
        <v>0.6</v>
      </c>
      <c r="F140" s="29"/>
      <c r="G140" s="51">
        <f t="shared" si="9"/>
        <v>0.42500000000000004</v>
      </c>
      <c r="H140" s="29">
        <f t="shared" si="2"/>
        <v>0</v>
      </c>
      <c r="I140" s="29">
        <f t="shared" si="11"/>
        <v>0</v>
      </c>
      <c r="J140" s="29">
        <f t="shared" si="11"/>
        <v>0</v>
      </c>
      <c r="K140" s="65">
        <f t="shared" si="10"/>
        <v>0</v>
      </c>
      <c r="L140" s="29">
        <f t="shared" si="4"/>
        <v>0</v>
      </c>
      <c r="M140" s="29">
        <f t="shared" si="5"/>
        <v>1</v>
      </c>
      <c r="N140" s="29">
        <f t="shared" si="6"/>
        <v>1</v>
      </c>
      <c r="O140" s="51">
        <f t="shared" si="7"/>
        <v>0.66666666666666663</v>
      </c>
      <c r="P140" s="51">
        <f>(Table48[[#This Row],[S1 Score]]+Table48[[#This Row],[S2 Score]]+Table48[[#This Row],[S3 Score]])/3</f>
        <v>0.36388888888888893</v>
      </c>
    </row>
    <row r="141" spans="2:16" x14ac:dyDescent="0.4">
      <c r="B141" s="2" t="s">
        <v>236</v>
      </c>
      <c r="C141" s="29">
        <f t="shared" si="0"/>
        <v>0.6</v>
      </c>
      <c r="D141">
        <f t="shared" si="1"/>
        <v>0.5</v>
      </c>
      <c r="E141">
        <f t="shared" si="8"/>
        <v>0.6</v>
      </c>
      <c r="F141" s="29"/>
      <c r="G141" s="51">
        <f t="shared" si="9"/>
        <v>0.42500000000000004</v>
      </c>
      <c r="H141" s="29">
        <f t="shared" si="2"/>
        <v>0</v>
      </c>
      <c r="I141" s="29">
        <f t="shared" si="11"/>
        <v>0</v>
      </c>
      <c r="J141" s="29">
        <f t="shared" si="11"/>
        <v>0</v>
      </c>
      <c r="K141" s="65">
        <f t="shared" si="10"/>
        <v>0</v>
      </c>
      <c r="L141" s="29">
        <f t="shared" si="4"/>
        <v>0</v>
      </c>
      <c r="M141" s="29">
        <f t="shared" si="5"/>
        <v>1</v>
      </c>
      <c r="N141" s="29">
        <f t="shared" si="6"/>
        <v>1</v>
      </c>
      <c r="O141" s="51">
        <f t="shared" si="7"/>
        <v>0.66666666666666663</v>
      </c>
      <c r="P141" s="51">
        <f>(Table48[[#This Row],[S1 Score]]+Table48[[#This Row],[S2 Score]]+Table48[[#This Row],[S3 Score]])/3</f>
        <v>0.36388888888888893</v>
      </c>
    </row>
    <row r="142" spans="2:16" x14ac:dyDescent="0.4">
      <c r="B142" s="2" t="s">
        <v>29</v>
      </c>
      <c r="C142" s="29">
        <f t="shared" ref="C142:C173" si="12">IF(C37="N/A",0,IF(C37="Metric Only",0.3,IF(C37="Aspirational",0.6,IF(C37="Formal",1))))</f>
        <v>1</v>
      </c>
      <c r="D142">
        <f t="shared" ref="D142:D173" si="13">IF(D37=0,0,IF(D37&gt;=0.6,1,IF(D37&gt;=0.5,0.75,IF(D37&gt;=0.4,0.5,IF(D37&gt;=0.3,0.25,IF(D37&lt;0.3,0.1))))))</f>
        <v>0.25</v>
      </c>
      <c r="E142">
        <f t="shared" ref="E142:E173" si="14">IF(E37="N/A",0,IF(E37="Metric Only",0.3,IF(E37="Aspirational",0.6,IF(E37="Formal",1))))</f>
        <v>0.6</v>
      </c>
      <c r="F142" s="29"/>
      <c r="G142" s="51">
        <f t="shared" ref="G142:G173" si="15">(C142+D142+E142+F142)/4</f>
        <v>0.46250000000000002</v>
      </c>
      <c r="H142" s="29">
        <f t="shared" ref="H142:H173" si="16">IF(H37="None",0,IF(H37=1,1,IF(H37=2,1.2)))</f>
        <v>0</v>
      </c>
      <c r="I142" s="29">
        <f t="shared" si="11"/>
        <v>0</v>
      </c>
      <c r="J142" s="29">
        <f t="shared" si="11"/>
        <v>0</v>
      </c>
      <c r="K142" s="65">
        <f t="shared" si="10"/>
        <v>0</v>
      </c>
      <c r="L142" s="29">
        <f t="shared" ref="L142:L173" si="17">IF(L37="Not Linked",0,IF(L37="Partially Linked",0.5,IF(L37="Linked",1)))</f>
        <v>0.5</v>
      </c>
      <c r="M142" s="29">
        <f t="shared" ref="M142:M173" si="18">IF(M37="No",0,IF(M37="Yes",1))</f>
        <v>1</v>
      </c>
      <c r="N142" s="29">
        <f t="shared" ref="N142:N173" si="19">IF(N37="",0,IF(N37="No",0,IF(N37="Yes",1)))</f>
        <v>1</v>
      </c>
      <c r="O142" s="51">
        <f t="shared" ref="O142:O173" si="20">(L142+M142+N142)/3</f>
        <v>0.83333333333333337</v>
      </c>
      <c r="P142" s="51">
        <f>(Table48[[#This Row],[S1 Score]]+Table48[[#This Row],[S2 Score]]+Table48[[#This Row],[S3 Score]])/3</f>
        <v>0.43194444444444446</v>
      </c>
    </row>
    <row r="143" spans="2:16" x14ac:dyDescent="0.4">
      <c r="B143" s="2" t="s">
        <v>694</v>
      </c>
      <c r="C143" s="29">
        <f t="shared" si="12"/>
        <v>1</v>
      </c>
      <c r="D143">
        <f t="shared" si="13"/>
        <v>0.5</v>
      </c>
      <c r="E143">
        <f t="shared" si="14"/>
        <v>1</v>
      </c>
      <c r="F143" s="29"/>
      <c r="G143" s="51">
        <f t="shared" si="15"/>
        <v>0.625</v>
      </c>
      <c r="H143" s="29">
        <f t="shared" si="16"/>
        <v>0</v>
      </c>
      <c r="I143" s="29">
        <f t="shared" si="11"/>
        <v>0</v>
      </c>
      <c r="J143" s="29">
        <f t="shared" si="11"/>
        <v>0</v>
      </c>
      <c r="K143" s="65">
        <f t="shared" si="10"/>
        <v>0</v>
      </c>
      <c r="L143" s="29">
        <f t="shared" si="17"/>
        <v>0.5</v>
      </c>
      <c r="M143" s="29">
        <f t="shared" si="18"/>
        <v>1</v>
      </c>
      <c r="N143" s="29">
        <f t="shared" si="19"/>
        <v>0</v>
      </c>
      <c r="O143" s="51">
        <f t="shared" si="20"/>
        <v>0.5</v>
      </c>
      <c r="P143" s="51">
        <f>(Table48[[#This Row],[S1 Score]]+Table48[[#This Row],[S2 Score]]+Table48[[#This Row],[S3 Score]])/3</f>
        <v>0.375</v>
      </c>
    </row>
    <row r="144" spans="2:16" x14ac:dyDescent="0.4">
      <c r="B144" s="2" t="s">
        <v>30</v>
      </c>
      <c r="C144" s="29">
        <f t="shared" si="12"/>
        <v>1</v>
      </c>
      <c r="D144">
        <f t="shared" si="13"/>
        <v>0.5</v>
      </c>
      <c r="E144">
        <f t="shared" si="14"/>
        <v>1</v>
      </c>
      <c r="F144" s="29"/>
      <c r="G144" s="51">
        <f t="shared" si="15"/>
        <v>0.625</v>
      </c>
      <c r="H144" s="29">
        <f t="shared" si="16"/>
        <v>0</v>
      </c>
      <c r="I144" s="29">
        <f t="shared" si="11"/>
        <v>0</v>
      </c>
      <c r="J144" s="29">
        <f t="shared" si="11"/>
        <v>0</v>
      </c>
      <c r="K144" s="65">
        <f t="shared" si="10"/>
        <v>0</v>
      </c>
      <c r="L144" s="29">
        <f t="shared" si="17"/>
        <v>1</v>
      </c>
      <c r="M144" s="29">
        <f t="shared" si="18"/>
        <v>1</v>
      </c>
      <c r="N144" s="29">
        <f t="shared" si="19"/>
        <v>0</v>
      </c>
      <c r="O144" s="51">
        <f t="shared" si="20"/>
        <v>0.66666666666666663</v>
      </c>
      <c r="P144" s="51">
        <f>(Table48[[#This Row],[S1 Score]]+Table48[[#This Row],[S2 Score]]+Table48[[#This Row],[S3 Score]])/3</f>
        <v>0.43055555555555552</v>
      </c>
    </row>
    <row r="145" spans="2:16" x14ac:dyDescent="0.4">
      <c r="B145" s="2" t="s">
        <v>31</v>
      </c>
      <c r="C145" s="29">
        <f t="shared" si="12"/>
        <v>1</v>
      </c>
      <c r="D145">
        <f t="shared" si="13"/>
        <v>0</v>
      </c>
      <c r="E145">
        <f t="shared" si="14"/>
        <v>1</v>
      </c>
      <c r="F145" s="29"/>
      <c r="G145" s="51">
        <f t="shared" si="15"/>
        <v>0.5</v>
      </c>
      <c r="H145" s="29">
        <f t="shared" si="16"/>
        <v>0</v>
      </c>
      <c r="I145" s="29">
        <f t="shared" si="11"/>
        <v>0</v>
      </c>
      <c r="J145" s="29">
        <f t="shared" si="11"/>
        <v>0</v>
      </c>
      <c r="K145" s="65">
        <f t="shared" si="10"/>
        <v>0</v>
      </c>
      <c r="L145" s="29">
        <f t="shared" si="17"/>
        <v>0.5</v>
      </c>
      <c r="M145" s="29">
        <f t="shared" si="18"/>
        <v>1</v>
      </c>
      <c r="N145" s="29">
        <f t="shared" si="19"/>
        <v>0</v>
      </c>
      <c r="O145" s="51">
        <f t="shared" si="20"/>
        <v>0.5</v>
      </c>
      <c r="P145" s="51">
        <f>(Table48[[#This Row],[S1 Score]]+Table48[[#This Row],[S2 Score]]+Table48[[#This Row],[S3 Score]])/3</f>
        <v>0.33333333333333331</v>
      </c>
    </row>
    <row r="146" spans="2:16" x14ac:dyDescent="0.4">
      <c r="B146" s="2" t="s">
        <v>32</v>
      </c>
      <c r="C146" s="29">
        <f t="shared" si="12"/>
        <v>0.6</v>
      </c>
      <c r="D146">
        <f t="shared" si="13"/>
        <v>0.25</v>
      </c>
      <c r="E146">
        <f t="shared" si="14"/>
        <v>0.6</v>
      </c>
      <c r="F146" s="29"/>
      <c r="G146" s="51">
        <f t="shared" si="15"/>
        <v>0.36249999999999999</v>
      </c>
      <c r="H146" s="29">
        <f t="shared" si="16"/>
        <v>0</v>
      </c>
      <c r="I146" s="29">
        <f t="shared" si="11"/>
        <v>0</v>
      </c>
      <c r="J146" s="29">
        <f t="shared" si="11"/>
        <v>1</v>
      </c>
      <c r="K146" s="65">
        <f t="shared" si="10"/>
        <v>0.33333333333333331</v>
      </c>
      <c r="L146" s="29">
        <f t="shared" si="17"/>
        <v>0</v>
      </c>
      <c r="M146" s="29">
        <f t="shared" si="18"/>
        <v>1</v>
      </c>
      <c r="N146" s="29">
        <f t="shared" si="19"/>
        <v>0</v>
      </c>
      <c r="O146" s="51">
        <f t="shared" si="20"/>
        <v>0.33333333333333331</v>
      </c>
      <c r="P146" s="51">
        <f>(Table48[[#This Row],[S1 Score]]+Table48[[#This Row],[S2 Score]]+Table48[[#This Row],[S3 Score]])/3</f>
        <v>0.3430555555555555</v>
      </c>
    </row>
    <row r="147" spans="2:16" x14ac:dyDescent="0.4">
      <c r="B147" s="2" t="s">
        <v>33</v>
      </c>
      <c r="C147" s="29">
        <f t="shared" si="12"/>
        <v>1</v>
      </c>
      <c r="D147">
        <f t="shared" si="13"/>
        <v>0.1</v>
      </c>
      <c r="E147">
        <f t="shared" si="14"/>
        <v>0</v>
      </c>
      <c r="F147" s="29"/>
      <c r="G147" s="51">
        <f t="shared" si="15"/>
        <v>0.27500000000000002</v>
      </c>
      <c r="H147" s="29">
        <f t="shared" si="16"/>
        <v>0</v>
      </c>
      <c r="I147" s="29">
        <f t="shared" si="11"/>
        <v>0</v>
      </c>
      <c r="J147" s="29">
        <f t="shared" si="11"/>
        <v>0</v>
      </c>
      <c r="K147" s="65">
        <f t="shared" si="10"/>
        <v>0</v>
      </c>
      <c r="L147" s="29">
        <f t="shared" si="17"/>
        <v>0.5</v>
      </c>
      <c r="M147" s="29">
        <f t="shared" si="18"/>
        <v>1</v>
      </c>
      <c r="N147" s="29">
        <f t="shared" si="19"/>
        <v>0</v>
      </c>
      <c r="O147" s="51">
        <f t="shared" si="20"/>
        <v>0.5</v>
      </c>
      <c r="P147" s="51">
        <f>(Table48[[#This Row],[S1 Score]]+Table48[[#This Row],[S2 Score]]+Table48[[#This Row],[S3 Score]])/3</f>
        <v>0.25833333333333336</v>
      </c>
    </row>
    <row r="148" spans="2:16" x14ac:dyDescent="0.4">
      <c r="B148" s="2" t="s">
        <v>34</v>
      </c>
      <c r="C148" s="29">
        <f t="shared" si="12"/>
        <v>1</v>
      </c>
      <c r="D148">
        <f t="shared" si="13"/>
        <v>0.5</v>
      </c>
      <c r="E148">
        <f t="shared" si="14"/>
        <v>0.6</v>
      </c>
      <c r="F148" s="29"/>
      <c r="G148" s="51">
        <f t="shared" si="15"/>
        <v>0.52500000000000002</v>
      </c>
      <c r="H148" s="29">
        <f t="shared" si="16"/>
        <v>0</v>
      </c>
      <c r="I148" s="29">
        <f t="shared" si="11"/>
        <v>0</v>
      </c>
      <c r="J148" s="29">
        <f t="shared" si="11"/>
        <v>0</v>
      </c>
      <c r="K148" s="65">
        <f t="shared" si="10"/>
        <v>0</v>
      </c>
      <c r="L148" s="29">
        <f t="shared" si="17"/>
        <v>0.5</v>
      </c>
      <c r="M148" s="29">
        <f t="shared" si="18"/>
        <v>1</v>
      </c>
      <c r="N148" s="29">
        <f t="shared" si="19"/>
        <v>0</v>
      </c>
      <c r="O148" s="51">
        <f t="shared" si="20"/>
        <v>0.5</v>
      </c>
      <c r="P148" s="51">
        <f>(Table48[[#This Row],[S1 Score]]+Table48[[#This Row],[S2 Score]]+Table48[[#This Row],[S3 Score]])/3</f>
        <v>0.34166666666666662</v>
      </c>
    </row>
    <row r="149" spans="2:16" x14ac:dyDescent="0.4">
      <c r="B149" s="2" t="s">
        <v>269</v>
      </c>
      <c r="C149" s="29">
        <f t="shared" si="12"/>
        <v>1</v>
      </c>
      <c r="D149">
        <f t="shared" si="13"/>
        <v>0.75</v>
      </c>
      <c r="E149">
        <f t="shared" si="14"/>
        <v>0.6</v>
      </c>
      <c r="F149" s="29"/>
      <c r="G149" s="51">
        <f t="shared" si="15"/>
        <v>0.58750000000000002</v>
      </c>
      <c r="H149" s="29">
        <f t="shared" si="16"/>
        <v>1</v>
      </c>
      <c r="I149" s="29">
        <f t="shared" si="11"/>
        <v>0</v>
      </c>
      <c r="J149" s="29">
        <f t="shared" si="11"/>
        <v>1</v>
      </c>
      <c r="K149" s="65">
        <f t="shared" si="10"/>
        <v>0.66666666666666663</v>
      </c>
      <c r="L149" s="29">
        <f t="shared" si="17"/>
        <v>1</v>
      </c>
      <c r="M149" s="29">
        <f t="shared" si="18"/>
        <v>1</v>
      </c>
      <c r="N149" s="29">
        <f t="shared" si="19"/>
        <v>0</v>
      </c>
      <c r="O149" s="51">
        <f t="shared" si="20"/>
        <v>0.66666666666666663</v>
      </c>
      <c r="P149" s="51">
        <f>(Table48[[#This Row],[S1 Score]]+Table48[[#This Row],[S2 Score]]+Table48[[#This Row],[S3 Score]])/3</f>
        <v>0.64027777777777783</v>
      </c>
    </row>
    <row r="150" spans="2:16" x14ac:dyDescent="0.4">
      <c r="B150" s="2" t="s">
        <v>35</v>
      </c>
      <c r="C150" s="29">
        <f t="shared" si="12"/>
        <v>1</v>
      </c>
      <c r="D150">
        <f t="shared" si="13"/>
        <v>0.75</v>
      </c>
      <c r="E150">
        <f t="shared" si="14"/>
        <v>0.6</v>
      </c>
      <c r="F150" s="29"/>
      <c r="G150" s="51">
        <f t="shared" si="15"/>
        <v>0.58750000000000002</v>
      </c>
      <c r="H150" s="29">
        <f t="shared" si="16"/>
        <v>0</v>
      </c>
      <c r="I150" s="29">
        <f t="shared" ref="I150:J169" si="21">IF(I45="",0,IF(I45="No",0,IF(I45="Yes",1)))</f>
        <v>0</v>
      </c>
      <c r="J150" s="29">
        <f t="shared" si="21"/>
        <v>0</v>
      </c>
      <c r="K150" s="65">
        <f t="shared" si="10"/>
        <v>0</v>
      </c>
      <c r="L150" s="29">
        <f t="shared" si="17"/>
        <v>1</v>
      </c>
      <c r="M150" s="29">
        <f t="shared" si="18"/>
        <v>1</v>
      </c>
      <c r="N150" s="29">
        <f t="shared" si="19"/>
        <v>1</v>
      </c>
      <c r="O150" s="51">
        <f t="shared" si="20"/>
        <v>1</v>
      </c>
      <c r="P150" s="51">
        <f>(Table48[[#This Row],[S1 Score]]+Table48[[#This Row],[S2 Score]]+Table48[[#This Row],[S3 Score]])/3</f>
        <v>0.52916666666666667</v>
      </c>
    </row>
    <row r="151" spans="2:16" x14ac:dyDescent="0.4">
      <c r="B151" s="2" t="s">
        <v>36</v>
      </c>
      <c r="C151" s="29">
        <f t="shared" si="12"/>
        <v>1</v>
      </c>
      <c r="D151">
        <f t="shared" si="13"/>
        <v>0.75</v>
      </c>
      <c r="E151">
        <f t="shared" si="14"/>
        <v>1</v>
      </c>
      <c r="F151" s="29"/>
      <c r="G151" s="51">
        <f t="shared" si="15"/>
        <v>0.6875</v>
      </c>
      <c r="H151" s="29">
        <f t="shared" si="16"/>
        <v>0</v>
      </c>
      <c r="I151" s="29">
        <f t="shared" si="21"/>
        <v>0</v>
      </c>
      <c r="J151" s="29">
        <f t="shared" si="21"/>
        <v>0</v>
      </c>
      <c r="K151" s="65">
        <f t="shared" si="10"/>
        <v>0</v>
      </c>
      <c r="L151" s="29">
        <f t="shared" si="17"/>
        <v>0.5</v>
      </c>
      <c r="M151" s="29">
        <f t="shared" si="18"/>
        <v>1</v>
      </c>
      <c r="N151" s="29">
        <f t="shared" si="19"/>
        <v>1</v>
      </c>
      <c r="O151" s="51">
        <f t="shared" si="20"/>
        <v>0.83333333333333337</v>
      </c>
      <c r="P151" s="51">
        <f>(Table48[[#This Row],[S1 Score]]+Table48[[#This Row],[S2 Score]]+Table48[[#This Row],[S3 Score]])/3</f>
        <v>0.50694444444444453</v>
      </c>
    </row>
    <row r="152" spans="2:16" x14ac:dyDescent="0.4">
      <c r="B152" s="2" t="s">
        <v>282</v>
      </c>
      <c r="C152" s="29">
        <f t="shared" si="12"/>
        <v>1</v>
      </c>
      <c r="D152">
        <f t="shared" si="13"/>
        <v>0</v>
      </c>
      <c r="E152">
        <f t="shared" si="14"/>
        <v>1</v>
      </c>
      <c r="F152" s="29"/>
      <c r="G152" s="51">
        <f t="shared" si="15"/>
        <v>0.5</v>
      </c>
      <c r="H152" s="29">
        <f t="shared" si="16"/>
        <v>0</v>
      </c>
      <c r="I152" s="29">
        <f t="shared" si="21"/>
        <v>0</v>
      </c>
      <c r="J152" s="29">
        <f t="shared" si="21"/>
        <v>1</v>
      </c>
      <c r="K152" s="65">
        <f t="shared" si="10"/>
        <v>0.33333333333333331</v>
      </c>
      <c r="L152" s="29">
        <f t="shared" si="17"/>
        <v>0.5</v>
      </c>
      <c r="M152" s="29">
        <f t="shared" si="18"/>
        <v>1</v>
      </c>
      <c r="N152" s="29">
        <f t="shared" si="19"/>
        <v>0</v>
      </c>
      <c r="O152" s="51">
        <f t="shared" si="20"/>
        <v>0.5</v>
      </c>
      <c r="P152" s="51">
        <f>(Table48[[#This Row],[S1 Score]]+Table48[[#This Row],[S2 Score]]+Table48[[#This Row],[S3 Score]])/3</f>
        <v>0.44444444444444442</v>
      </c>
    </row>
    <row r="153" spans="2:16" x14ac:dyDescent="0.4">
      <c r="B153" s="2" t="s">
        <v>287</v>
      </c>
      <c r="C153" s="29">
        <f t="shared" si="12"/>
        <v>1</v>
      </c>
      <c r="D153">
        <f t="shared" si="13"/>
        <v>0.5</v>
      </c>
      <c r="E153">
        <f t="shared" si="14"/>
        <v>0.6</v>
      </c>
      <c r="F153" s="29"/>
      <c r="G153" s="51">
        <f t="shared" si="15"/>
        <v>0.52500000000000002</v>
      </c>
      <c r="H153" s="29">
        <f t="shared" si="16"/>
        <v>0</v>
      </c>
      <c r="I153" s="29">
        <f t="shared" si="21"/>
        <v>0</v>
      </c>
      <c r="J153" s="29">
        <f t="shared" si="21"/>
        <v>0</v>
      </c>
      <c r="K153" s="65">
        <f t="shared" si="10"/>
        <v>0</v>
      </c>
      <c r="L153" s="29">
        <f t="shared" si="17"/>
        <v>0</v>
      </c>
      <c r="M153" s="29">
        <f t="shared" si="18"/>
        <v>1</v>
      </c>
      <c r="N153" s="29">
        <f t="shared" si="19"/>
        <v>0</v>
      </c>
      <c r="O153" s="51">
        <f t="shared" si="20"/>
        <v>0.33333333333333331</v>
      </c>
      <c r="P153" s="51">
        <f>(Table48[[#This Row],[S1 Score]]+Table48[[#This Row],[S2 Score]]+Table48[[#This Row],[S3 Score]])/3</f>
        <v>0.28611111111111115</v>
      </c>
    </row>
    <row r="154" spans="2:16" x14ac:dyDescent="0.4">
      <c r="B154" s="2" t="s">
        <v>37</v>
      </c>
      <c r="C154" s="29">
        <f t="shared" si="12"/>
        <v>1</v>
      </c>
      <c r="D154">
        <f t="shared" si="13"/>
        <v>0.75</v>
      </c>
      <c r="E154">
        <f t="shared" si="14"/>
        <v>1</v>
      </c>
      <c r="F154" s="29"/>
      <c r="G154" s="51">
        <f t="shared" si="15"/>
        <v>0.6875</v>
      </c>
      <c r="H154" s="29">
        <f t="shared" si="16"/>
        <v>0</v>
      </c>
      <c r="I154" s="29">
        <f t="shared" si="21"/>
        <v>0</v>
      </c>
      <c r="J154" s="29">
        <f t="shared" si="21"/>
        <v>0</v>
      </c>
      <c r="K154" s="65">
        <f t="shared" si="10"/>
        <v>0</v>
      </c>
      <c r="L154" s="29">
        <f t="shared" si="17"/>
        <v>1</v>
      </c>
      <c r="M154" s="29">
        <f t="shared" si="18"/>
        <v>1</v>
      </c>
      <c r="N154" s="29">
        <f t="shared" si="19"/>
        <v>1</v>
      </c>
      <c r="O154" s="51">
        <f t="shared" si="20"/>
        <v>1</v>
      </c>
      <c r="P154" s="51">
        <f>(Table48[[#This Row],[S1 Score]]+Table48[[#This Row],[S2 Score]]+Table48[[#This Row],[S3 Score]])/3</f>
        <v>0.5625</v>
      </c>
    </row>
    <row r="155" spans="2:16" x14ac:dyDescent="0.4">
      <c r="B155" s="2" t="s">
        <v>297</v>
      </c>
      <c r="C155" s="29">
        <f t="shared" si="12"/>
        <v>1</v>
      </c>
      <c r="D155">
        <f t="shared" si="13"/>
        <v>0.75</v>
      </c>
      <c r="E155">
        <f t="shared" si="14"/>
        <v>0.6</v>
      </c>
      <c r="F155" s="29"/>
      <c r="G155" s="51">
        <f t="shared" si="15"/>
        <v>0.58750000000000002</v>
      </c>
      <c r="H155" s="29">
        <f t="shared" si="16"/>
        <v>0</v>
      </c>
      <c r="I155" s="29">
        <f t="shared" si="21"/>
        <v>0</v>
      </c>
      <c r="J155" s="29">
        <f t="shared" si="21"/>
        <v>0</v>
      </c>
      <c r="K155" s="65">
        <f t="shared" si="10"/>
        <v>0</v>
      </c>
      <c r="L155" s="29">
        <f t="shared" si="17"/>
        <v>0</v>
      </c>
      <c r="M155" s="29">
        <f t="shared" si="18"/>
        <v>1</v>
      </c>
      <c r="N155" s="29">
        <f t="shared" si="19"/>
        <v>0</v>
      </c>
      <c r="O155" s="51">
        <f t="shared" si="20"/>
        <v>0.33333333333333331</v>
      </c>
      <c r="P155" s="51">
        <f>(Table48[[#This Row],[S1 Score]]+Table48[[#This Row],[S2 Score]]+Table48[[#This Row],[S3 Score]])/3</f>
        <v>0.30694444444444446</v>
      </c>
    </row>
    <row r="156" spans="2:16" x14ac:dyDescent="0.4">
      <c r="B156" s="2" t="s">
        <v>38</v>
      </c>
      <c r="C156" s="29">
        <f t="shared" si="12"/>
        <v>0.6</v>
      </c>
      <c r="D156">
        <f t="shared" si="13"/>
        <v>1</v>
      </c>
      <c r="E156">
        <f t="shared" si="14"/>
        <v>1</v>
      </c>
      <c r="F156" s="29"/>
      <c r="G156" s="51">
        <f t="shared" si="15"/>
        <v>0.65</v>
      </c>
      <c r="H156" s="29">
        <f t="shared" si="16"/>
        <v>1</v>
      </c>
      <c r="I156" s="29">
        <f t="shared" si="21"/>
        <v>1</v>
      </c>
      <c r="J156" s="29">
        <f t="shared" si="21"/>
        <v>1</v>
      </c>
      <c r="K156" s="65">
        <f t="shared" si="10"/>
        <v>1</v>
      </c>
      <c r="L156" s="29">
        <f t="shared" si="17"/>
        <v>0.5</v>
      </c>
      <c r="M156" s="29">
        <f t="shared" si="18"/>
        <v>1</v>
      </c>
      <c r="N156" s="29">
        <f t="shared" si="19"/>
        <v>0</v>
      </c>
      <c r="O156" s="51">
        <f t="shared" si="20"/>
        <v>0.5</v>
      </c>
      <c r="P156" s="51">
        <f>(Table48[[#This Row],[S1 Score]]+Table48[[#This Row],[S2 Score]]+Table48[[#This Row],[S3 Score]])/3</f>
        <v>0.71666666666666667</v>
      </c>
    </row>
    <row r="157" spans="2:16" x14ac:dyDescent="0.4">
      <c r="B157" s="2" t="s">
        <v>307</v>
      </c>
      <c r="C157" s="29">
        <f t="shared" si="12"/>
        <v>1</v>
      </c>
      <c r="D157">
        <f t="shared" si="13"/>
        <v>0.5</v>
      </c>
      <c r="E157">
        <f t="shared" si="14"/>
        <v>0.6</v>
      </c>
      <c r="F157" s="29"/>
      <c r="G157" s="51">
        <f t="shared" si="15"/>
        <v>0.52500000000000002</v>
      </c>
      <c r="H157" s="29">
        <f t="shared" si="16"/>
        <v>0</v>
      </c>
      <c r="I157" s="29">
        <f t="shared" si="21"/>
        <v>0</v>
      </c>
      <c r="J157" s="29">
        <f t="shared" si="21"/>
        <v>0</v>
      </c>
      <c r="K157" s="65">
        <f t="shared" si="10"/>
        <v>0</v>
      </c>
      <c r="L157" s="29">
        <f t="shared" si="17"/>
        <v>0</v>
      </c>
      <c r="M157" s="29">
        <f t="shared" si="18"/>
        <v>1</v>
      </c>
      <c r="N157" s="29">
        <f t="shared" si="19"/>
        <v>1</v>
      </c>
      <c r="O157" s="51">
        <f t="shared" si="20"/>
        <v>0.66666666666666663</v>
      </c>
      <c r="P157" s="51">
        <f>(Table48[[#This Row],[S1 Score]]+Table48[[#This Row],[S2 Score]]+Table48[[#This Row],[S3 Score]])/3</f>
        <v>0.3972222222222222</v>
      </c>
    </row>
    <row r="158" spans="2:16" x14ac:dyDescent="0.4">
      <c r="B158" s="2" t="s">
        <v>40</v>
      </c>
      <c r="C158" s="29">
        <f t="shared" si="12"/>
        <v>1</v>
      </c>
      <c r="D158">
        <f t="shared" si="13"/>
        <v>0.25</v>
      </c>
      <c r="E158">
        <f t="shared" si="14"/>
        <v>0.6</v>
      </c>
      <c r="F158" s="29"/>
      <c r="G158" s="51">
        <f t="shared" si="15"/>
        <v>0.46250000000000002</v>
      </c>
      <c r="H158" s="29">
        <f t="shared" si="16"/>
        <v>0</v>
      </c>
      <c r="I158" s="29">
        <f t="shared" si="21"/>
        <v>0</v>
      </c>
      <c r="J158" s="29">
        <f t="shared" si="21"/>
        <v>1</v>
      </c>
      <c r="K158" s="65">
        <f t="shared" si="10"/>
        <v>0.33333333333333331</v>
      </c>
      <c r="L158" s="29">
        <f t="shared" si="17"/>
        <v>0.5</v>
      </c>
      <c r="M158" s="29">
        <f t="shared" si="18"/>
        <v>1</v>
      </c>
      <c r="N158" s="29">
        <f t="shared" si="19"/>
        <v>1</v>
      </c>
      <c r="O158" s="51">
        <f t="shared" si="20"/>
        <v>0.83333333333333337</v>
      </c>
      <c r="P158" s="51">
        <f>(Table48[[#This Row],[S1 Score]]+Table48[[#This Row],[S2 Score]]+Table48[[#This Row],[S3 Score]])/3</f>
        <v>0.54305555555555562</v>
      </c>
    </row>
    <row r="159" spans="2:16" x14ac:dyDescent="0.4">
      <c r="B159" s="2" t="s">
        <v>41</v>
      </c>
      <c r="C159" s="29">
        <f t="shared" si="12"/>
        <v>1</v>
      </c>
      <c r="D159">
        <f t="shared" si="13"/>
        <v>0.5</v>
      </c>
      <c r="E159">
        <f t="shared" si="14"/>
        <v>0.6</v>
      </c>
      <c r="F159" s="29"/>
      <c r="G159" s="51">
        <f t="shared" si="15"/>
        <v>0.52500000000000002</v>
      </c>
      <c r="H159" s="29">
        <f t="shared" si="16"/>
        <v>0</v>
      </c>
      <c r="I159" s="29">
        <f t="shared" si="21"/>
        <v>0</v>
      </c>
      <c r="J159" s="29">
        <f t="shared" si="21"/>
        <v>0</v>
      </c>
      <c r="K159" s="65">
        <f t="shared" si="10"/>
        <v>0</v>
      </c>
      <c r="L159" s="29">
        <f t="shared" si="17"/>
        <v>0.5</v>
      </c>
      <c r="M159" s="29">
        <f t="shared" si="18"/>
        <v>1</v>
      </c>
      <c r="N159" s="29">
        <f t="shared" si="19"/>
        <v>1</v>
      </c>
      <c r="O159" s="51">
        <f t="shared" si="20"/>
        <v>0.83333333333333337</v>
      </c>
      <c r="P159" s="51">
        <f>(Table48[[#This Row],[S1 Score]]+Table48[[#This Row],[S2 Score]]+Table48[[#This Row],[S3 Score]])/3</f>
        <v>0.45277777777777778</v>
      </c>
    </row>
    <row r="160" spans="2:16" x14ac:dyDescent="0.4">
      <c r="B160" s="2" t="s">
        <v>320</v>
      </c>
      <c r="C160" s="29">
        <f t="shared" si="12"/>
        <v>1</v>
      </c>
      <c r="D160">
        <f t="shared" si="13"/>
        <v>0.5</v>
      </c>
      <c r="E160">
        <f t="shared" si="14"/>
        <v>1</v>
      </c>
      <c r="F160" s="29"/>
      <c r="G160" s="51">
        <f t="shared" si="15"/>
        <v>0.625</v>
      </c>
      <c r="H160" s="29">
        <f t="shared" si="16"/>
        <v>0</v>
      </c>
      <c r="I160" s="29">
        <f t="shared" si="21"/>
        <v>0</v>
      </c>
      <c r="J160" s="29">
        <f t="shared" si="21"/>
        <v>1</v>
      </c>
      <c r="K160" s="65">
        <f t="shared" si="10"/>
        <v>0.33333333333333331</v>
      </c>
      <c r="L160" s="29">
        <f t="shared" si="17"/>
        <v>1</v>
      </c>
      <c r="M160" s="29">
        <f t="shared" si="18"/>
        <v>1</v>
      </c>
      <c r="N160" s="29">
        <f t="shared" si="19"/>
        <v>0</v>
      </c>
      <c r="O160" s="51">
        <f t="shared" si="20"/>
        <v>0.66666666666666663</v>
      </c>
      <c r="P160" s="51">
        <f>(Table48[[#This Row],[S1 Score]]+Table48[[#This Row],[S2 Score]]+Table48[[#This Row],[S3 Score]])/3</f>
        <v>0.54166666666666663</v>
      </c>
    </row>
    <row r="161" spans="2:16" x14ac:dyDescent="0.4">
      <c r="B161" s="2" t="s">
        <v>42</v>
      </c>
      <c r="C161" s="29">
        <f t="shared" si="12"/>
        <v>1</v>
      </c>
      <c r="D161">
        <f t="shared" si="13"/>
        <v>0</v>
      </c>
      <c r="E161">
        <f t="shared" si="14"/>
        <v>1</v>
      </c>
      <c r="F161" s="29"/>
      <c r="G161" s="51">
        <f t="shared" si="15"/>
        <v>0.5</v>
      </c>
      <c r="H161" s="29">
        <f t="shared" si="16"/>
        <v>0</v>
      </c>
      <c r="I161" s="29">
        <f t="shared" si="21"/>
        <v>0</v>
      </c>
      <c r="J161" s="29">
        <f t="shared" si="21"/>
        <v>0</v>
      </c>
      <c r="K161" s="65">
        <f t="shared" si="10"/>
        <v>0</v>
      </c>
      <c r="L161" s="29">
        <f t="shared" si="17"/>
        <v>1</v>
      </c>
      <c r="M161" s="29">
        <f t="shared" si="18"/>
        <v>1</v>
      </c>
      <c r="N161" s="29">
        <f t="shared" si="19"/>
        <v>1</v>
      </c>
      <c r="O161" s="51">
        <f t="shared" si="20"/>
        <v>1</v>
      </c>
      <c r="P161" s="51">
        <f>(Table48[[#This Row],[S1 Score]]+Table48[[#This Row],[S2 Score]]+Table48[[#This Row],[S3 Score]])/3</f>
        <v>0.5</v>
      </c>
    </row>
    <row r="162" spans="2:16" x14ac:dyDescent="0.4">
      <c r="B162" s="2" t="s">
        <v>329</v>
      </c>
      <c r="C162" s="29">
        <f t="shared" si="12"/>
        <v>1</v>
      </c>
      <c r="D162">
        <f t="shared" si="13"/>
        <v>0.25</v>
      </c>
      <c r="E162">
        <f t="shared" si="14"/>
        <v>0.6</v>
      </c>
      <c r="F162" s="29"/>
      <c r="G162" s="51">
        <f t="shared" si="15"/>
        <v>0.46250000000000002</v>
      </c>
      <c r="H162" s="29">
        <f t="shared" si="16"/>
        <v>0</v>
      </c>
      <c r="I162" s="29">
        <f t="shared" si="21"/>
        <v>0</v>
      </c>
      <c r="J162" s="29">
        <f t="shared" si="21"/>
        <v>0</v>
      </c>
      <c r="K162" s="65">
        <f t="shared" si="10"/>
        <v>0</v>
      </c>
      <c r="L162" s="29">
        <f t="shared" si="17"/>
        <v>0</v>
      </c>
      <c r="M162" s="29">
        <f t="shared" si="18"/>
        <v>1</v>
      </c>
      <c r="N162" s="29">
        <f t="shared" si="19"/>
        <v>0</v>
      </c>
      <c r="O162" s="51">
        <f t="shared" si="20"/>
        <v>0.33333333333333331</v>
      </c>
      <c r="P162" s="51">
        <f>(Table48[[#This Row],[S1 Score]]+Table48[[#This Row],[S2 Score]]+Table48[[#This Row],[S3 Score]])/3</f>
        <v>0.26527777777777778</v>
      </c>
    </row>
    <row r="163" spans="2:16" x14ac:dyDescent="0.4">
      <c r="B163" s="2" t="s">
        <v>334</v>
      </c>
      <c r="C163" s="29">
        <f t="shared" si="12"/>
        <v>1</v>
      </c>
      <c r="D163">
        <f t="shared" si="13"/>
        <v>0.75</v>
      </c>
      <c r="E163">
        <f t="shared" si="14"/>
        <v>1</v>
      </c>
      <c r="F163" s="29"/>
      <c r="G163" s="51">
        <f t="shared" si="15"/>
        <v>0.6875</v>
      </c>
      <c r="H163" s="29">
        <f t="shared" si="16"/>
        <v>0</v>
      </c>
      <c r="I163" s="29">
        <f t="shared" si="21"/>
        <v>0</v>
      </c>
      <c r="J163" s="29">
        <f t="shared" si="21"/>
        <v>0</v>
      </c>
      <c r="K163" s="65">
        <f t="shared" si="10"/>
        <v>0</v>
      </c>
      <c r="L163" s="29">
        <f t="shared" si="17"/>
        <v>0.5</v>
      </c>
      <c r="M163" s="29">
        <f t="shared" si="18"/>
        <v>1</v>
      </c>
      <c r="N163" s="29">
        <f t="shared" si="19"/>
        <v>0</v>
      </c>
      <c r="O163" s="51">
        <f t="shared" si="20"/>
        <v>0.5</v>
      </c>
      <c r="P163" s="51">
        <f>(Table48[[#This Row],[S1 Score]]+Table48[[#This Row],[S2 Score]]+Table48[[#This Row],[S3 Score]])/3</f>
        <v>0.39583333333333331</v>
      </c>
    </row>
    <row r="164" spans="2:16" x14ac:dyDescent="0.4">
      <c r="B164" s="2" t="s">
        <v>43</v>
      </c>
      <c r="C164" s="29">
        <f t="shared" si="12"/>
        <v>0.6</v>
      </c>
      <c r="D164">
        <f t="shared" si="13"/>
        <v>0.25</v>
      </c>
      <c r="E164">
        <f t="shared" si="14"/>
        <v>0.6</v>
      </c>
      <c r="F164" s="29"/>
      <c r="G164" s="51">
        <f t="shared" si="15"/>
        <v>0.36249999999999999</v>
      </c>
      <c r="H164" s="29">
        <f t="shared" si="16"/>
        <v>1</v>
      </c>
      <c r="I164" s="29">
        <f t="shared" si="21"/>
        <v>0</v>
      </c>
      <c r="J164" s="29">
        <f t="shared" si="21"/>
        <v>0</v>
      </c>
      <c r="K164" s="65">
        <f t="shared" si="10"/>
        <v>0.33333333333333331</v>
      </c>
      <c r="L164" s="29">
        <f t="shared" si="17"/>
        <v>0</v>
      </c>
      <c r="M164" s="29">
        <f t="shared" si="18"/>
        <v>1</v>
      </c>
      <c r="N164" s="29">
        <f t="shared" si="19"/>
        <v>1</v>
      </c>
      <c r="O164" s="51">
        <f t="shared" si="20"/>
        <v>0.66666666666666663</v>
      </c>
      <c r="P164" s="51">
        <f>(Table48[[#This Row],[S1 Score]]+Table48[[#This Row],[S2 Score]]+Table48[[#This Row],[S3 Score]])/3</f>
        <v>0.45416666666666661</v>
      </c>
    </row>
    <row r="165" spans="2:16" x14ac:dyDescent="0.4">
      <c r="B165" s="2" t="s">
        <v>44</v>
      </c>
      <c r="C165" s="29">
        <f t="shared" si="12"/>
        <v>1</v>
      </c>
      <c r="D165">
        <f t="shared" si="13"/>
        <v>0.25</v>
      </c>
      <c r="E165">
        <f t="shared" si="14"/>
        <v>0.6</v>
      </c>
      <c r="F165" s="29"/>
      <c r="G165" s="51">
        <f t="shared" si="15"/>
        <v>0.46250000000000002</v>
      </c>
      <c r="H165" s="29">
        <f t="shared" si="16"/>
        <v>1</v>
      </c>
      <c r="I165" s="29">
        <f t="shared" si="21"/>
        <v>0</v>
      </c>
      <c r="J165" s="29">
        <f t="shared" si="21"/>
        <v>1</v>
      </c>
      <c r="K165" s="65">
        <f t="shared" si="10"/>
        <v>0.66666666666666663</v>
      </c>
      <c r="L165" s="29">
        <f t="shared" si="17"/>
        <v>0.5</v>
      </c>
      <c r="M165" s="29">
        <f t="shared" si="18"/>
        <v>1</v>
      </c>
      <c r="N165" s="29">
        <f t="shared" si="19"/>
        <v>1</v>
      </c>
      <c r="O165" s="51">
        <f t="shared" si="20"/>
        <v>0.83333333333333337</v>
      </c>
      <c r="P165" s="51">
        <f>(Table48[[#This Row],[S1 Score]]+Table48[[#This Row],[S2 Score]]+Table48[[#This Row],[S3 Score]])/3</f>
        <v>0.65416666666666667</v>
      </c>
    </row>
    <row r="166" spans="2:16" x14ac:dyDescent="0.4">
      <c r="B166" s="2" t="s">
        <v>45</v>
      </c>
      <c r="C166" s="29">
        <f t="shared" si="12"/>
        <v>1</v>
      </c>
      <c r="D166">
        <f t="shared" si="13"/>
        <v>0.5</v>
      </c>
      <c r="E166">
        <f t="shared" si="14"/>
        <v>1</v>
      </c>
      <c r="F166" s="29"/>
      <c r="G166" s="51">
        <f t="shared" si="15"/>
        <v>0.625</v>
      </c>
      <c r="H166" s="29">
        <f t="shared" si="16"/>
        <v>0</v>
      </c>
      <c r="I166" s="29">
        <f t="shared" si="21"/>
        <v>0</v>
      </c>
      <c r="J166" s="29">
        <f t="shared" si="21"/>
        <v>0</v>
      </c>
      <c r="K166" s="65">
        <f t="shared" si="10"/>
        <v>0</v>
      </c>
      <c r="L166" s="29">
        <f t="shared" si="17"/>
        <v>1</v>
      </c>
      <c r="M166" s="29">
        <f t="shared" si="18"/>
        <v>1</v>
      </c>
      <c r="N166" s="29">
        <f t="shared" si="19"/>
        <v>1</v>
      </c>
      <c r="O166" s="51">
        <f t="shared" si="20"/>
        <v>1</v>
      </c>
      <c r="P166" s="51">
        <f>(Table48[[#This Row],[S1 Score]]+Table48[[#This Row],[S2 Score]]+Table48[[#This Row],[S3 Score]])/3</f>
        <v>0.54166666666666663</v>
      </c>
    </row>
    <row r="167" spans="2:16" x14ac:dyDescent="0.4">
      <c r="B167" s="2" t="s">
        <v>46</v>
      </c>
      <c r="C167" s="29">
        <f t="shared" si="12"/>
        <v>1</v>
      </c>
      <c r="D167">
        <f t="shared" si="13"/>
        <v>0.5</v>
      </c>
      <c r="E167">
        <f t="shared" si="14"/>
        <v>1</v>
      </c>
      <c r="F167" s="29"/>
      <c r="G167" s="51">
        <f t="shared" si="15"/>
        <v>0.625</v>
      </c>
      <c r="H167" s="29">
        <f t="shared" si="16"/>
        <v>0</v>
      </c>
      <c r="I167" s="29">
        <f t="shared" si="21"/>
        <v>1</v>
      </c>
      <c r="J167" s="29">
        <f t="shared" si="21"/>
        <v>0</v>
      </c>
      <c r="K167" s="65">
        <f t="shared" si="10"/>
        <v>0.33333333333333331</v>
      </c>
      <c r="L167" s="29">
        <f t="shared" si="17"/>
        <v>1</v>
      </c>
      <c r="M167" s="29">
        <f t="shared" si="18"/>
        <v>1</v>
      </c>
      <c r="N167" s="29">
        <f t="shared" si="19"/>
        <v>1</v>
      </c>
      <c r="O167" s="51">
        <f t="shared" si="20"/>
        <v>1</v>
      </c>
      <c r="P167" s="51">
        <f>(Table48[[#This Row],[S1 Score]]+Table48[[#This Row],[S2 Score]]+Table48[[#This Row],[S3 Score]])/3</f>
        <v>0.65277777777777779</v>
      </c>
    </row>
    <row r="168" spans="2:16" x14ac:dyDescent="0.4">
      <c r="B168" s="2" t="s">
        <v>47</v>
      </c>
      <c r="C168" s="29">
        <f t="shared" si="12"/>
        <v>1</v>
      </c>
      <c r="D168">
        <f t="shared" si="13"/>
        <v>0.75</v>
      </c>
      <c r="E168">
        <f t="shared" si="14"/>
        <v>1</v>
      </c>
      <c r="F168" s="29"/>
      <c r="G168" s="51">
        <f t="shared" si="15"/>
        <v>0.6875</v>
      </c>
      <c r="H168" s="29">
        <f t="shared" si="16"/>
        <v>1</v>
      </c>
      <c r="I168" s="29">
        <f t="shared" si="21"/>
        <v>1</v>
      </c>
      <c r="J168" s="29">
        <f t="shared" si="21"/>
        <v>0</v>
      </c>
      <c r="K168" s="65">
        <f t="shared" si="10"/>
        <v>0.66666666666666663</v>
      </c>
      <c r="L168" s="29">
        <f t="shared" si="17"/>
        <v>1</v>
      </c>
      <c r="M168" s="29">
        <f t="shared" si="18"/>
        <v>1</v>
      </c>
      <c r="N168" s="29">
        <f t="shared" si="19"/>
        <v>1</v>
      </c>
      <c r="O168" s="51">
        <f t="shared" si="20"/>
        <v>1</v>
      </c>
      <c r="P168" s="51">
        <f>(Table48[[#This Row],[S1 Score]]+Table48[[#This Row],[S2 Score]]+Table48[[#This Row],[S3 Score]])/3</f>
        <v>0.78472222222222221</v>
      </c>
    </row>
    <row r="169" spans="2:16" x14ac:dyDescent="0.4">
      <c r="B169" s="2" t="s">
        <v>362</v>
      </c>
      <c r="C169" s="29">
        <f t="shared" si="12"/>
        <v>1</v>
      </c>
      <c r="D169">
        <f t="shared" si="13"/>
        <v>0.5</v>
      </c>
      <c r="E169">
        <f t="shared" si="14"/>
        <v>1</v>
      </c>
      <c r="F169" s="29"/>
      <c r="G169" s="51">
        <f t="shared" si="15"/>
        <v>0.625</v>
      </c>
      <c r="H169" s="29">
        <f t="shared" si="16"/>
        <v>0</v>
      </c>
      <c r="I169" s="29">
        <f t="shared" si="21"/>
        <v>0</v>
      </c>
      <c r="J169" s="29">
        <f t="shared" si="21"/>
        <v>0</v>
      </c>
      <c r="K169" s="65">
        <f t="shared" si="10"/>
        <v>0</v>
      </c>
      <c r="L169" s="29">
        <f t="shared" si="17"/>
        <v>0.5</v>
      </c>
      <c r="M169" s="29">
        <f t="shared" si="18"/>
        <v>1</v>
      </c>
      <c r="N169" s="29">
        <f t="shared" si="19"/>
        <v>1</v>
      </c>
      <c r="O169" s="51">
        <f t="shared" si="20"/>
        <v>0.83333333333333337</v>
      </c>
      <c r="P169" s="51">
        <f>(Table48[[#This Row],[S1 Score]]+Table48[[#This Row],[S2 Score]]+Table48[[#This Row],[S3 Score]])/3</f>
        <v>0.48611111111111116</v>
      </c>
    </row>
    <row r="170" spans="2:16" x14ac:dyDescent="0.4">
      <c r="B170" s="2" t="s">
        <v>367</v>
      </c>
      <c r="C170" s="29">
        <f t="shared" si="12"/>
        <v>1</v>
      </c>
      <c r="D170">
        <f t="shared" si="13"/>
        <v>0.25</v>
      </c>
      <c r="E170">
        <f t="shared" si="14"/>
        <v>1</v>
      </c>
      <c r="F170" s="29"/>
      <c r="G170" s="51">
        <f t="shared" si="15"/>
        <v>0.5625</v>
      </c>
      <c r="H170" s="29">
        <f t="shared" si="16"/>
        <v>0</v>
      </c>
      <c r="I170" s="29">
        <f t="shared" ref="I170:J189" si="22">IF(I65="",0,IF(I65="No",0,IF(I65="Yes",1)))</f>
        <v>0</v>
      </c>
      <c r="J170" s="29">
        <f t="shared" si="22"/>
        <v>0</v>
      </c>
      <c r="K170" s="65">
        <f t="shared" si="10"/>
        <v>0</v>
      </c>
      <c r="L170" s="29">
        <f t="shared" si="17"/>
        <v>1</v>
      </c>
      <c r="M170" s="29">
        <f t="shared" si="18"/>
        <v>1</v>
      </c>
      <c r="N170" s="29">
        <f t="shared" si="19"/>
        <v>1</v>
      </c>
      <c r="O170" s="51">
        <f t="shared" si="20"/>
        <v>1</v>
      </c>
      <c r="P170" s="51">
        <f>(Table48[[#This Row],[S1 Score]]+Table48[[#This Row],[S2 Score]]+Table48[[#This Row],[S3 Score]])/3</f>
        <v>0.52083333333333337</v>
      </c>
    </row>
    <row r="171" spans="2:16" x14ac:dyDescent="0.4">
      <c r="B171" s="2" t="s">
        <v>48</v>
      </c>
      <c r="C171" s="29">
        <f t="shared" si="12"/>
        <v>1</v>
      </c>
      <c r="D171">
        <f t="shared" si="13"/>
        <v>0.5</v>
      </c>
      <c r="E171">
        <f t="shared" si="14"/>
        <v>1</v>
      </c>
      <c r="F171" s="29"/>
      <c r="G171" s="51">
        <f t="shared" si="15"/>
        <v>0.625</v>
      </c>
      <c r="H171" s="29">
        <f t="shared" si="16"/>
        <v>0</v>
      </c>
      <c r="I171" s="29">
        <f t="shared" si="22"/>
        <v>1</v>
      </c>
      <c r="J171" s="29">
        <f t="shared" si="22"/>
        <v>0</v>
      </c>
      <c r="K171" s="65">
        <f t="shared" si="10"/>
        <v>0.33333333333333331</v>
      </c>
      <c r="L171" s="29">
        <f t="shared" si="17"/>
        <v>0.5</v>
      </c>
      <c r="M171" s="29">
        <f t="shared" si="18"/>
        <v>1</v>
      </c>
      <c r="N171" s="29">
        <f t="shared" si="19"/>
        <v>0</v>
      </c>
      <c r="O171" s="51">
        <f t="shared" si="20"/>
        <v>0.5</v>
      </c>
      <c r="P171" s="51">
        <f>(Table48[[#This Row],[S1 Score]]+Table48[[#This Row],[S2 Score]]+Table48[[#This Row],[S3 Score]])/3</f>
        <v>0.4861111111111111</v>
      </c>
    </row>
    <row r="172" spans="2:16" x14ac:dyDescent="0.4">
      <c r="B172" s="2" t="s">
        <v>49</v>
      </c>
      <c r="C172" s="29">
        <f t="shared" si="12"/>
        <v>1</v>
      </c>
      <c r="D172">
        <f t="shared" si="13"/>
        <v>1</v>
      </c>
      <c r="E172">
        <f t="shared" si="14"/>
        <v>0.6</v>
      </c>
      <c r="F172" s="29"/>
      <c r="G172" s="51">
        <f t="shared" si="15"/>
        <v>0.65</v>
      </c>
      <c r="H172" s="29">
        <f t="shared" si="16"/>
        <v>0</v>
      </c>
      <c r="I172" s="29">
        <f t="shared" si="22"/>
        <v>0</v>
      </c>
      <c r="J172" s="29">
        <f t="shared" si="22"/>
        <v>1</v>
      </c>
      <c r="K172" s="65">
        <f t="shared" si="10"/>
        <v>0.33333333333333331</v>
      </c>
      <c r="L172" s="29">
        <f t="shared" si="17"/>
        <v>0</v>
      </c>
      <c r="M172" s="29">
        <f t="shared" si="18"/>
        <v>1</v>
      </c>
      <c r="N172" s="29">
        <f t="shared" si="19"/>
        <v>1</v>
      </c>
      <c r="O172" s="51">
        <f t="shared" si="20"/>
        <v>0.66666666666666663</v>
      </c>
      <c r="P172" s="51">
        <f>(Table48[[#This Row],[S1 Score]]+Table48[[#This Row],[S2 Score]]+Table48[[#This Row],[S3 Score]])/3</f>
        <v>0.54999999999999993</v>
      </c>
    </row>
    <row r="173" spans="2:16" x14ac:dyDescent="0.4">
      <c r="B173" s="2" t="s">
        <v>50</v>
      </c>
      <c r="C173" s="29">
        <f t="shared" si="12"/>
        <v>0.6</v>
      </c>
      <c r="D173">
        <f t="shared" si="13"/>
        <v>0.5</v>
      </c>
      <c r="E173">
        <f t="shared" si="14"/>
        <v>0.6</v>
      </c>
      <c r="F173" s="29"/>
      <c r="G173" s="51">
        <f t="shared" si="15"/>
        <v>0.42500000000000004</v>
      </c>
      <c r="H173" s="29">
        <f t="shared" si="16"/>
        <v>0</v>
      </c>
      <c r="I173" s="29">
        <f t="shared" si="22"/>
        <v>0</v>
      </c>
      <c r="J173" s="29">
        <f t="shared" si="22"/>
        <v>0</v>
      </c>
      <c r="K173" s="65">
        <f t="shared" si="10"/>
        <v>0</v>
      </c>
      <c r="L173" s="29">
        <f t="shared" si="17"/>
        <v>0</v>
      </c>
      <c r="M173" s="29">
        <f t="shared" si="18"/>
        <v>1</v>
      </c>
      <c r="N173" s="29">
        <f t="shared" si="19"/>
        <v>1</v>
      </c>
      <c r="O173" s="51">
        <f t="shared" si="20"/>
        <v>0.66666666666666663</v>
      </c>
      <c r="P173" s="51">
        <f>(Table48[[#This Row],[S1 Score]]+Table48[[#This Row],[S2 Score]]+Table48[[#This Row],[S3 Score]])/3</f>
        <v>0.36388888888888893</v>
      </c>
    </row>
    <row r="174" spans="2:16" x14ac:dyDescent="0.4">
      <c r="B174" s="2" t="s">
        <v>51</v>
      </c>
      <c r="C174" s="29">
        <f t="shared" ref="C174:C205" si="23">IF(C69="N/A",0,IF(C69="Metric Only",0.3,IF(C69="Aspirational",0.6,IF(C69="Formal",1))))</f>
        <v>1</v>
      </c>
      <c r="D174">
        <f t="shared" ref="D174:D205" si="24">IF(D69=0,0,IF(D69&gt;=0.6,1,IF(D69&gt;=0.5,0.75,IF(D69&gt;=0.4,0.5,IF(D69&gt;=0.3,0.25,IF(D69&lt;0.3,0.1))))))</f>
        <v>0.5</v>
      </c>
      <c r="E174">
        <f t="shared" ref="E174:E205" si="25">IF(E69="N/A",0,IF(E69="Metric Only",0.3,IF(E69="Aspirational",0.6,IF(E69="Formal",1))))</f>
        <v>0.6</v>
      </c>
      <c r="F174" s="29"/>
      <c r="G174" s="51">
        <f t="shared" ref="G174:G204" si="26">(C174+D174+E174+F174)/4</f>
        <v>0.52500000000000002</v>
      </c>
      <c r="H174" s="29">
        <f t="shared" ref="H174:H205" si="27">IF(H69="None",0,IF(H69=1,1,IF(H69=2,1.2)))</f>
        <v>0</v>
      </c>
      <c r="I174" s="29">
        <f t="shared" si="22"/>
        <v>0</v>
      </c>
      <c r="J174" s="29">
        <f t="shared" si="22"/>
        <v>0</v>
      </c>
      <c r="K174" s="65">
        <f t="shared" si="10"/>
        <v>0</v>
      </c>
      <c r="L174" s="29">
        <f t="shared" ref="L174:L205" si="28">IF(L69="Not Linked",0,IF(L69="Partially Linked",0.5,IF(L69="Linked",1)))</f>
        <v>0.5</v>
      </c>
      <c r="M174" s="29">
        <f t="shared" ref="M174:M205" si="29">IF(M69="No",0,IF(M69="Yes",1))</f>
        <v>1</v>
      </c>
      <c r="N174" s="29">
        <f t="shared" ref="N174:N205" si="30">IF(N69="",0,IF(N69="No",0,IF(N69="Yes",1)))</f>
        <v>0</v>
      </c>
      <c r="O174" s="51">
        <f t="shared" ref="O174:O205" si="31">(L174+M174+N174)/3</f>
        <v>0.5</v>
      </c>
      <c r="P174" s="51">
        <f>(Table48[[#This Row],[S1 Score]]+Table48[[#This Row],[S2 Score]]+Table48[[#This Row],[S3 Score]])/3</f>
        <v>0.34166666666666662</v>
      </c>
    </row>
    <row r="175" spans="2:16" x14ac:dyDescent="0.4">
      <c r="B175" s="2" t="s">
        <v>52</v>
      </c>
      <c r="C175" s="29">
        <f t="shared" si="23"/>
        <v>1</v>
      </c>
      <c r="D175">
        <f t="shared" si="24"/>
        <v>0.5</v>
      </c>
      <c r="E175">
        <f t="shared" si="25"/>
        <v>1</v>
      </c>
      <c r="F175" s="29"/>
      <c r="G175" s="51">
        <f t="shared" si="26"/>
        <v>0.625</v>
      </c>
      <c r="H175" s="29">
        <f t="shared" si="27"/>
        <v>0</v>
      </c>
      <c r="I175" s="29">
        <f t="shared" si="22"/>
        <v>1</v>
      </c>
      <c r="J175" s="29">
        <f t="shared" si="22"/>
        <v>1</v>
      </c>
      <c r="K175" s="65">
        <f t="shared" ref="K175:K209" si="32">(H175+I175+J175)/3</f>
        <v>0.66666666666666663</v>
      </c>
      <c r="L175" s="29">
        <f t="shared" si="28"/>
        <v>1</v>
      </c>
      <c r="M175" s="29">
        <f t="shared" si="29"/>
        <v>1</v>
      </c>
      <c r="N175" s="29">
        <f t="shared" si="30"/>
        <v>0</v>
      </c>
      <c r="O175" s="51">
        <f t="shared" si="31"/>
        <v>0.66666666666666663</v>
      </c>
      <c r="P175" s="51">
        <f>(Table48[[#This Row],[S1 Score]]+Table48[[#This Row],[S2 Score]]+Table48[[#This Row],[S3 Score]])/3</f>
        <v>0.65277777777777768</v>
      </c>
    </row>
    <row r="176" spans="2:16" x14ac:dyDescent="0.4">
      <c r="B176" s="2" t="s">
        <v>53</v>
      </c>
      <c r="C176" s="29">
        <f t="shared" si="23"/>
        <v>1</v>
      </c>
      <c r="D176">
        <f t="shared" si="24"/>
        <v>1</v>
      </c>
      <c r="E176">
        <f t="shared" si="25"/>
        <v>1</v>
      </c>
      <c r="F176" s="29"/>
      <c r="G176" s="51">
        <f t="shared" si="26"/>
        <v>0.75</v>
      </c>
      <c r="H176" s="29">
        <f t="shared" si="27"/>
        <v>1.2</v>
      </c>
      <c r="I176" s="29">
        <f t="shared" si="22"/>
        <v>1</v>
      </c>
      <c r="J176" s="29">
        <f t="shared" si="22"/>
        <v>0</v>
      </c>
      <c r="K176" s="65">
        <f t="shared" si="32"/>
        <v>0.73333333333333339</v>
      </c>
      <c r="L176" s="29">
        <f t="shared" si="28"/>
        <v>0.5</v>
      </c>
      <c r="M176" s="29">
        <f t="shared" si="29"/>
        <v>1</v>
      </c>
      <c r="N176" s="29">
        <f t="shared" si="30"/>
        <v>0</v>
      </c>
      <c r="O176" s="51">
        <f t="shared" si="31"/>
        <v>0.5</v>
      </c>
      <c r="P176" s="51">
        <f>(Table48[[#This Row],[S1 Score]]+Table48[[#This Row],[S2 Score]]+Table48[[#This Row],[S3 Score]])/3</f>
        <v>0.66111111111111109</v>
      </c>
    </row>
    <row r="177" spans="2:16" x14ac:dyDescent="0.4">
      <c r="B177" s="2" t="s">
        <v>398</v>
      </c>
      <c r="C177" s="29">
        <f t="shared" si="23"/>
        <v>0.3</v>
      </c>
      <c r="D177">
        <f t="shared" si="24"/>
        <v>0.25</v>
      </c>
      <c r="E177">
        <f t="shared" si="25"/>
        <v>0.3</v>
      </c>
      <c r="F177" s="29"/>
      <c r="G177" s="51">
        <f t="shared" si="26"/>
        <v>0.21250000000000002</v>
      </c>
      <c r="H177" s="29">
        <f t="shared" si="27"/>
        <v>1</v>
      </c>
      <c r="I177" s="29">
        <f t="shared" si="22"/>
        <v>0</v>
      </c>
      <c r="J177" s="29">
        <f t="shared" si="22"/>
        <v>0</v>
      </c>
      <c r="K177" s="65">
        <f t="shared" si="32"/>
        <v>0.33333333333333331</v>
      </c>
      <c r="L177" s="29">
        <f t="shared" si="28"/>
        <v>0</v>
      </c>
      <c r="M177" s="29">
        <f t="shared" si="29"/>
        <v>1</v>
      </c>
      <c r="N177" s="29">
        <f t="shared" si="30"/>
        <v>0</v>
      </c>
      <c r="O177" s="51">
        <f t="shared" si="31"/>
        <v>0.33333333333333331</v>
      </c>
      <c r="P177" s="51">
        <f>(Table48[[#This Row],[S1 Score]]+Table48[[#This Row],[S2 Score]]+Table48[[#This Row],[S3 Score]])/3</f>
        <v>0.29305555555555557</v>
      </c>
    </row>
    <row r="178" spans="2:16" x14ac:dyDescent="0.4">
      <c r="B178" s="2" t="s">
        <v>54</v>
      </c>
      <c r="C178" s="29">
        <f t="shared" si="23"/>
        <v>1</v>
      </c>
      <c r="D178">
        <f t="shared" si="24"/>
        <v>1</v>
      </c>
      <c r="E178">
        <f t="shared" si="25"/>
        <v>1</v>
      </c>
      <c r="F178" s="29"/>
      <c r="G178" s="51">
        <f t="shared" si="26"/>
        <v>0.75</v>
      </c>
      <c r="H178" s="29">
        <f t="shared" si="27"/>
        <v>0</v>
      </c>
      <c r="I178" s="29">
        <f t="shared" si="22"/>
        <v>1</v>
      </c>
      <c r="J178" s="29">
        <f t="shared" si="22"/>
        <v>0</v>
      </c>
      <c r="K178" s="65">
        <f t="shared" si="32"/>
        <v>0.33333333333333331</v>
      </c>
      <c r="L178" s="29">
        <f t="shared" si="28"/>
        <v>1</v>
      </c>
      <c r="M178" s="29">
        <f t="shared" si="29"/>
        <v>1</v>
      </c>
      <c r="N178" s="29">
        <f t="shared" si="30"/>
        <v>1</v>
      </c>
      <c r="O178" s="51">
        <f t="shared" si="31"/>
        <v>1</v>
      </c>
      <c r="P178" s="51">
        <f>(Table48[[#This Row],[S1 Score]]+Table48[[#This Row],[S2 Score]]+Table48[[#This Row],[S3 Score]])/3</f>
        <v>0.69444444444444431</v>
      </c>
    </row>
    <row r="179" spans="2:16" x14ac:dyDescent="0.4">
      <c r="B179" s="2" t="s">
        <v>56</v>
      </c>
      <c r="C179" s="29">
        <f t="shared" si="23"/>
        <v>1</v>
      </c>
      <c r="D179">
        <f t="shared" si="24"/>
        <v>0.5</v>
      </c>
      <c r="E179">
        <f t="shared" si="25"/>
        <v>0.6</v>
      </c>
      <c r="F179" s="29"/>
      <c r="G179" s="51">
        <f t="shared" si="26"/>
        <v>0.52500000000000002</v>
      </c>
      <c r="H179" s="29">
        <f t="shared" si="27"/>
        <v>0</v>
      </c>
      <c r="I179" s="29">
        <f t="shared" si="22"/>
        <v>0</v>
      </c>
      <c r="J179" s="29">
        <f t="shared" si="22"/>
        <v>0</v>
      </c>
      <c r="K179" s="65">
        <f t="shared" si="32"/>
        <v>0</v>
      </c>
      <c r="L179" s="29">
        <f t="shared" si="28"/>
        <v>0</v>
      </c>
      <c r="M179" s="29">
        <f t="shared" si="29"/>
        <v>1</v>
      </c>
      <c r="N179" s="29">
        <f t="shared" si="30"/>
        <v>1</v>
      </c>
      <c r="O179" s="51">
        <f t="shared" si="31"/>
        <v>0.66666666666666663</v>
      </c>
      <c r="P179" s="51">
        <f>(Table48[[#This Row],[S1 Score]]+Table48[[#This Row],[S2 Score]]+Table48[[#This Row],[S3 Score]])/3</f>
        <v>0.3972222222222222</v>
      </c>
    </row>
    <row r="180" spans="2:16" x14ac:dyDescent="0.4">
      <c r="B180" s="2" t="s">
        <v>57</v>
      </c>
      <c r="C180" s="29">
        <f t="shared" si="23"/>
        <v>1</v>
      </c>
      <c r="D180">
        <f t="shared" si="24"/>
        <v>0.75</v>
      </c>
      <c r="E180">
        <f t="shared" si="25"/>
        <v>1</v>
      </c>
      <c r="F180" s="29"/>
      <c r="G180" s="51">
        <f t="shared" si="26"/>
        <v>0.6875</v>
      </c>
      <c r="H180" s="29">
        <f t="shared" si="27"/>
        <v>0</v>
      </c>
      <c r="I180" s="29">
        <f t="shared" si="22"/>
        <v>0</v>
      </c>
      <c r="J180" s="29">
        <f t="shared" si="22"/>
        <v>0</v>
      </c>
      <c r="K180" s="65">
        <f t="shared" si="32"/>
        <v>0</v>
      </c>
      <c r="L180" s="29">
        <f t="shared" si="28"/>
        <v>1</v>
      </c>
      <c r="M180" s="29">
        <f t="shared" si="29"/>
        <v>1</v>
      </c>
      <c r="N180" s="29">
        <f t="shared" si="30"/>
        <v>1</v>
      </c>
      <c r="O180" s="51">
        <f t="shared" si="31"/>
        <v>1</v>
      </c>
      <c r="P180" s="51">
        <f>(Table48[[#This Row],[S1 Score]]+Table48[[#This Row],[S2 Score]]+Table48[[#This Row],[S3 Score]])/3</f>
        <v>0.5625</v>
      </c>
    </row>
    <row r="181" spans="2:16" x14ac:dyDescent="0.4">
      <c r="B181" s="2" t="s">
        <v>58</v>
      </c>
      <c r="C181" s="29">
        <f t="shared" si="23"/>
        <v>1</v>
      </c>
      <c r="D181">
        <f t="shared" si="24"/>
        <v>0.25</v>
      </c>
      <c r="E181">
        <f t="shared" si="25"/>
        <v>0.6</v>
      </c>
      <c r="F181" s="29"/>
      <c r="G181" s="51">
        <f t="shared" si="26"/>
        <v>0.46250000000000002</v>
      </c>
      <c r="H181" s="29">
        <f t="shared" si="27"/>
        <v>0</v>
      </c>
      <c r="I181" s="29">
        <f t="shared" si="22"/>
        <v>1</v>
      </c>
      <c r="J181" s="29">
        <f t="shared" si="22"/>
        <v>1</v>
      </c>
      <c r="K181" s="65">
        <f t="shared" si="32"/>
        <v>0.66666666666666663</v>
      </c>
      <c r="L181" s="29">
        <f t="shared" si="28"/>
        <v>0</v>
      </c>
      <c r="M181" s="29">
        <f t="shared" si="29"/>
        <v>1</v>
      </c>
      <c r="N181" s="29">
        <f t="shared" si="30"/>
        <v>0</v>
      </c>
      <c r="O181" s="51">
        <f t="shared" si="31"/>
        <v>0.33333333333333331</v>
      </c>
      <c r="P181" s="51">
        <f>(Table48[[#This Row],[S1 Score]]+Table48[[#This Row],[S2 Score]]+Table48[[#This Row],[S3 Score]])/3</f>
        <v>0.48749999999999999</v>
      </c>
    </row>
    <row r="182" spans="2:16" x14ac:dyDescent="0.4">
      <c r="B182" s="2" t="s">
        <v>59</v>
      </c>
      <c r="C182" s="29">
        <f t="shared" si="23"/>
        <v>1</v>
      </c>
      <c r="D182">
        <f t="shared" si="24"/>
        <v>0.75</v>
      </c>
      <c r="E182">
        <f t="shared" si="25"/>
        <v>0.6</v>
      </c>
      <c r="F182" s="29"/>
      <c r="G182" s="51">
        <f t="shared" si="26"/>
        <v>0.58750000000000002</v>
      </c>
      <c r="H182" s="29">
        <f t="shared" si="27"/>
        <v>0</v>
      </c>
      <c r="I182" s="29">
        <f t="shared" si="22"/>
        <v>0</v>
      </c>
      <c r="J182" s="29">
        <f t="shared" si="22"/>
        <v>0</v>
      </c>
      <c r="K182" s="65">
        <f t="shared" si="32"/>
        <v>0</v>
      </c>
      <c r="L182" s="29">
        <f t="shared" si="28"/>
        <v>1</v>
      </c>
      <c r="M182" s="29">
        <f t="shared" si="29"/>
        <v>1</v>
      </c>
      <c r="N182" s="29">
        <f t="shared" si="30"/>
        <v>0</v>
      </c>
      <c r="O182" s="51">
        <f t="shared" si="31"/>
        <v>0.66666666666666663</v>
      </c>
      <c r="P182" s="51">
        <f>(Table48[[#This Row],[S1 Score]]+Table48[[#This Row],[S2 Score]]+Table48[[#This Row],[S3 Score]])/3</f>
        <v>0.41805555555555557</v>
      </c>
    </row>
    <row r="183" spans="2:16" x14ac:dyDescent="0.4">
      <c r="B183" s="2" t="s">
        <v>60</v>
      </c>
      <c r="C183" s="29">
        <f t="shared" si="23"/>
        <v>1</v>
      </c>
      <c r="D183">
        <f t="shared" si="24"/>
        <v>0.5</v>
      </c>
      <c r="E183">
        <f t="shared" si="25"/>
        <v>0.6</v>
      </c>
      <c r="F183" s="29"/>
      <c r="G183" s="51">
        <f t="shared" si="26"/>
        <v>0.52500000000000002</v>
      </c>
      <c r="H183" s="29">
        <f t="shared" si="27"/>
        <v>0</v>
      </c>
      <c r="I183" s="29">
        <f t="shared" si="22"/>
        <v>1</v>
      </c>
      <c r="J183" s="29">
        <f t="shared" si="22"/>
        <v>0</v>
      </c>
      <c r="K183" s="65">
        <f t="shared" si="32"/>
        <v>0.33333333333333331</v>
      </c>
      <c r="L183" s="29">
        <f t="shared" si="28"/>
        <v>1</v>
      </c>
      <c r="M183" s="29">
        <f t="shared" si="29"/>
        <v>1</v>
      </c>
      <c r="N183" s="29">
        <f t="shared" si="30"/>
        <v>0</v>
      </c>
      <c r="O183" s="51">
        <f t="shared" si="31"/>
        <v>0.66666666666666663</v>
      </c>
      <c r="P183" s="51">
        <f>(Table48[[#This Row],[S1 Score]]+Table48[[#This Row],[S2 Score]]+Table48[[#This Row],[S3 Score]])/3</f>
        <v>0.5083333333333333</v>
      </c>
    </row>
    <row r="184" spans="2:16" x14ac:dyDescent="0.4">
      <c r="B184" s="2" t="s">
        <v>61</v>
      </c>
      <c r="C184" s="29">
        <f t="shared" si="23"/>
        <v>1</v>
      </c>
      <c r="D184">
        <f t="shared" si="24"/>
        <v>0.25</v>
      </c>
      <c r="E184">
        <f t="shared" si="25"/>
        <v>0.6</v>
      </c>
      <c r="F184" s="29"/>
      <c r="G184" s="51">
        <f t="shared" si="26"/>
        <v>0.46250000000000002</v>
      </c>
      <c r="H184" s="29">
        <f t="shared" si="27"/>
        <v>0</v>
      </c>
      <c r="I184" s="29">
        <f t="shared" si="22"/>
        <v>0</v>
      </c>
      <c r="J184" s="29">
        <f t="shared" si="22"/>
        <v>0</v>
      </c>
      <c r="K184" s="65">
        <f t="shared" si="32"/>
        <v>0</v>
      </c>
      <c r="L184" s="29">
        <f t="shared" si="28"/>
        <v>0.5</v>
      </c>
      <c r="M184" s="29">
        <f t="shared" si="29"/>
        <v>1</v>
      </c>
      <c r="N184" s="29">
        <f t="shared" si="30"/>
        <v>0</v>
      </c>
      <c r="O184" s="51">
        <f t="shared" si="31"/>
        <v>0.5</v>
      </c>
      <c r="P184" s="51">
        <f>(Table48[[#This Row],[S1 Score]]+Table48[[#This Row],[S2 Score]]+Table48[[#This Row],[S3 Score]])/3</f>
        <v>0.32083333333333336</v>
      </c>
    </row>
    <row r="185" spans="2:16" x14ac:dyDescent="0.4">
      <c r="B185" s="2" t="s">
        <v>62</v>
      </c>
      <c r="C185" s="29">
        <f t="shared" si="23"/>
        <v>1</v>
      </c>
      <c r="D185">
        <f t="shared" si="24"/>
        <v>0.75</v>
      </c>
      <c r="E185">
        <f t="shared" si="25"/>
        <v>1</v>
      </c>
      <c r="F185" s="29"/>
      <c r="G185" s="51">
        <f t="shared" si="26"/>
        <v>0.6875</v>
      </c>
      <c r="H185" s="29">
        <f t="shared" si="27"/>
        <v>0</v>
      </c>
      <c r="I185" s="29">
        <f t="shared" si="22"/>
        <v>0</v>
      </c>
      <c r="J185" s="29">
        <f t="shared" si="22"/>
        <v>0</v>
      </c>
      <c r="K185" s="65">
        <f t="shared" si="32"/>
        <v>0</v>
      </c>
      <c r="L185" s="29">
        <f t="shared" si="28"/>
        <v>0.5</v>
      </c>
      <c r="M185" s="29">
        <f t="shared" si="29"/>
        <v>1</v>
      </c>
      <c r="N185" s="29">
        <f t="shared" si="30"/>
        <v>0</v>
      </c>
      <c r="O185" s="51">
        <f t="shared" si="31"/>
        <v>0.5</v>
      </c>
      <c r="P185" s="51">
        <f>(Table48[[#This Row],[S1 Score]]+Table48[[#This Row],[S2 Score]]+Table48[[#This Row],[S3 Score]])/3</f>
        <v>0.39583333333333331</v>
      </c>
    </row>
    <row r="186" spans="2:16" x14ac:dyDescent="0.4">
      <c r="B186" s="2" t="s">
        <v>439</v>
      </c>
      <c r="C186" s="29">
        <f t="shared" si="23"/>
        <v>0.6</v>
      </c>
      <c r="D186">
        <f t="shared" si="24"/>
        <v>0.5</v>
      </c>
      <c r="E186">
        <f t="shared" si="25"/>
        <v>0.6</v>
      </c>
      <c r="F186" s="29"/>
      <c r="G186" s="51">
        <f t="shared" si="26"/>
        <v>0.42500000000000004</v>
      </c>
      <c r="H186" s="29">
        <f t="shared" si="27"/>
        <v>0</v>
      </c>
      <c r="I186" s="29">
        <f t="shared" si="22"/>
        <v>0</v>
      </c>
      <c r="J186" s="29">
        <f t="shared" si="22"/>
        <v>1</v>
      </c>
      <c r="K186" s="65">
        <f t="shared" si="32"/>
        <v>0.33333333333333331</v>
      </c>
      <c r="L186" s="29">
        <f t="shared" si="28"/>
        <v>0.5</v>
      </c>
      <c r="M186" s="29">
        <f t="shared" si="29"/>
        <v>1</v>
      </c>
      <c r="N186" s="29">
        <f t="shared" si="30"/>
        <v>1</v>
      </c>
      <c r="O186" s="51">
        <f t="shared" si="31"/>
        <v>0.83333333333333337</v>
      </c>
      <c r="P186" s="51">
        <f>(Table48[[#This Row],[S1 Score]]+Table48[[#This Row],[S2 Score]]+Table48[[#This Row],[S3 Score]])/3</f>
        <v>0.53055555555555556</v>
      </c>
    </row>
    <row r="187" spans="2:16" x14ac:dyDescent="0.4">
      <c r="B187" s="2" t="s">
        <v>63</v>
      </c>
      <c r="C187" s="29">
        <f t="shared" si="23"/>
        <v>1</v>
      </c>
      <c r="D187">
        <f t="shared" si="24"/>
        <v>0.75</v>
      </c>
      <c r="E187">
        <f t="shared" si="25"/>
        <v>0.6</v>
      </c>
      <c r="F187" s="29"/>
      <c r="G187" s="51">
        <f t="shared" si="26"/>
        <v>0.58750000000000002</v>
      </c>
      <c r="H187" s="29">
        <f t="shared" si="27"/>
        <v>0</v>
      </c>
      <c r="I187" s="29">
        <f t="shared" si="22"/>
        <v>0</v>
      </c>
      <c r="J187" s="29">
        <f t="shared" si="22"/>
        <v>0</v>
      </c>
      <c r="K187" s="65">
        <f t="shared" si="32"/>
        <v>0</v>
      </c>
      <c r="L187" s="29">
        <f t="shared" si="28"/>
        <v>0.5</v>
      </c>
      <c r="M187" s="29">
        <f t="shared" si="29"/>
        <v>1</v>
      </c>
      <c r="N187" s="29">
        <f t="shared" si="30"/>
        <v>0</v>
      </c>
      <c r="O187" s="51">
        <f t="shared" si="31"/>
        <v>0.5</v>
      </c>
      <c r="P187" s="51">
        <f>(Table48[[#This Row],[S1 Score]]+Table48[[#This Row],[S2 Score]]+Table48[[#This Row],[S3 Score]])/3</f>
        <v>0.36249999999999999</v>
      </c>
    </row>
    <row r="188" spans="2:16" x14ac:dyDescent="0.4">
      <c r="B188" s="2" t="s">
        <v>448</v>
      </c>
      <c r="C188" s="29">
        <f t="shared" si="23"/>
        <v>1</v>
      </c>
      <c r="D188">
        <f t="shared" si="24"/>
        <v>0.5</v>
      </c>
      <c r="E188">
        <f t="shared" si="25"/>
        <v>1</v>
      </c>
      <c r="F188" s="29"/>
      <c r="G188" s="51">
        <f t="shared" si="26"/>
        <v>0.625</v>
      </c>
      <c r="H188" s="29">
        <f t="shared" si="27"/>
        <v>0</v>
      </c>
      <c r="I188" s="29">
        <f t="shared" si="22"/>
        <v>0</v>
      </c>
      <c r="J188" s="29">
        <f t="shared" si="22"/>
        <v>0</v>
      </c>
      <c r="K188" s="65">
        <f t="shared" si="32"/>
        <v>0</v>
      </c>
      <c r="L188" s="29">
        <f t="shared" si="28"/>
        <v>1</v>
      </c>
      <c r="M188" s="29">
        <f t="shared" si="29"/>
        <v>1</v>
      </c>
      <c r="N188" s="29">
        <f t="shared" si="30"/>
        <v>0</v>
      </c>
      <c r="O188" s="51">
        <f t="shared" si="31"/>
        <v>0.66666666666666663</v>
      </c>
      <c r="P188" s="51">
        <f>(Table48[[#This Row],[S1 Score]]+Table48[[#This Row],[S2 Score]]+Table48[[#This Row],[S3 Score]])/3</f>
        <v>0.43055555555555552</v>
      </c>
    </row>
    <row r="189" spans="2:16" x14ac:dyDescent="0.4">
      <c r="B189" s="2" t="s">
        <v>454</v>
      </c>
      <c r="C189" s="29">
        <f t="shared" si="23"/>
        <v>1</v>
      </c>
      <c r="D189">
        <f t="shared" si="24"/>
        <v>0.75</v>
      </c>
      <c r="E189">
        <f t="shared" si="25"/>
        <v>1</v>
      </c>
      <c r="F189" s="29"/>
      <c r="G189" s="51">
        <f t="shared" si="26"/>
        <v>0.6875</v>
      </c>
      <c r="H189" s="29">
        <f t="shared" si="27"/>
        <v>0</v>
      </c>
      <c r="I189" s="29">
        <f t="shared" si="22"/>
        <v>0</v>
      </c>
      <c r="J189" s="29">
        <f t="shared" si="22"/>
        <v>1</v>
      </c>
      <c r="K189" s="65">
        <f t="shared" si="32"/>
        <v>0.33333333333333331</v>
      </c>
      <c r="L189" s="29">
        <f t="shared" si="28"/>
        <v>0.5</v>
      </c>
      <c r="M189" s="29">
        <f t="shared" si="29"/>
        <v>1</v>
      </c>
      <c r="N189" s="29">
        <f t="shared" si="30"/>
        <v>1</v>
      </c>
      <c r="O189" s="51">
        <f t="shared" si="31"/>
        <v>0.83333333333333337</v>
      </c>
      <c r="P189" s="51">
        <f>(Table48[[#This Row],[S1 Score]]+Table48[[#This Row],[S2 Score]]+Table48[[#This Row],[S3 Score]])/3</f>
        <v>0.61805555555555547</v>
      </c>
    </row>
    <row r="190" spans="2:16" x14ac:dyDescent="0.4">
      <c r="B190" s="2" t="s">
        <v>459</v>
      </c>
      <c r="C190" s="29">
        <f t="shared" si="23"/>
        <v>1</v>
      </c>
      <c r="D190">
        <f t="shared" si="24"/>
        <v>0.75</v>
      </c>
      <c r="E190">
        <f t="shared" si="25"/>
        <v>1</v>
      </c>
      <c r="F190" s="29"/>
      <c r="G190" s="51">
        <f t="shared" si="26"/>
        <v>0.6875</v>
      </c>
      <c r="H190" s="29">
        <f t="shared" si="27"/>
        <v>0</v>
      </c>
      <c r="I190" s="29">
        <f t="shared" ref="I190:J209" si="33">IF(I85="",0,IF(I85="No",0,IF(I85="Yes",1)))</f>
        <v>1</v>
      </c>
      <c r="J190" s="29">
        <f t="shared" si="33"/>
        <v>1</v>
      </c>
      <c r="K190" s="65">
        <f t="shared" si="32"/>
        <v>0.66666666666666663</v>
      </c>
      <c r="L190" s="29">
        <f t="shared" si="28"/>
        <v>0.5</v>
      </c>
      <c r="M190" s="29">
        <f t="shared" si="29"/>
        <v>1</v>
      </c>
      <c r="N190" s="29">
        <f t="shared" si="30"/>
        <v>0</v>
      </c>
      <c r="O190" s="51">
        <f t="shared" si="31"/>
        <v>0.5</v>
      </c>
      <c r="P190" s="51">
        <f>(Table48[[#This Row],[S1 Score]]+Table48[[#This Row],[S2 Score]]+Table48[[#This Row],[S3 Score]])/3</f>
        <v>0.61805555555555547</v>
      </c>
    </row>
    <row r="191" spans="2:16" x14ac:dyDescent="0.4">
      <c r="B191" s="2" t="s">
        <v>64</v>
      </c>
      <c r="C191" s="29">
        <f t="shared" si="23"/>
        <v>1</v>
      </c>
      <c r="D191">
        <f t="shared" si="24"/>
        <v>0</v>
      </c>
      <c r="E191">
        <f t="shared" si="25"/>
        <v>1</v>
      </c>
      <c r="F191" s="29"/>
      <c r="G191" s="51">
        <f t="shared" si="26"/>
        <v>0.5</v>
      </c>
      <c r="H191" s="29">
        <f t="shared" si="27"/>
        <v>0</v>
      </c>
      <c r="I191" s="29">
        <f t="shared" si="33"/>
        <v>0</v>
      </c>
      <c r="J191" s="29">
        <f t="shared" si="33"/>
        <v>0</v>
      </c>
      <c r="K191" s="65">
        <f t="shared" si="32"/>
        <v>0</v>
      </c>
      <c r="L191" s="29">
        <f t="shared" si="28"/>
        <v>0</v>
      </c>
      <c r="M191" s="29">
        <f t="shared" si="29"/>
        <v>1</v>
      </c>
      <c r="N191" s="29">
        <f t="shared" si="30"/>
        <v>0</v>
      </c>
      <c r="O191" s="51">
        <f t="shared" si="31"/>
        <v>0.33333333333333331</v>
      </c>
      <c r="P191" s="51">
        <f>(Table48[[#This Row],[S1 Score]]+Table48[[#This Row],[S2 Score]]+Table48[[#This Row],[S3 Score]])/3</f>
        <v>0.27777777777777773</v>
      </c>
    </row>
    <row r="192" spans="2:16" x14ac:dyDescent="0.4">
      <c r="B192" s="2" t="s">
        <v>65</v>
      </c>
      <c r="C192" s="29">
        <f t="shared" si="23"/>
        <v>1</v>
      </c>
      <c r="D192">
        <f t="shared" si="24"/>
        <v>0.5</v>
      </c>
      <c r="E192">
        <f t="shared" si="25"/>
        <v>0.6</v>
      </c>
      <c r="F192" s="29"/>
      <c r="G192" s="51">
        <f t="shared" si="26"/>
        <v>0.52500000000000002</v>
      </c>
      <c r="H192" s="29">
        <f t="shared" si="27"/>
        <v>0</v>
      </c>
      <c r="I192" s="29">
        <f t="shared" si="33"/>
        <v>0</v>
      </c>
      <c r="J192" s="29">
        <f t="shared" si="33"/>
        <v>1</v>
      </c>
      <c r="K192" s="65">
        <f t="shared" si="32"/>
        <v>0.33333333333333331</v>
      </c>
      <c r="L192" s="29">
        <f t="shared" si="28"/>
        <v>0.5</v>
      </c>
      <c r="M192" s="29">
        <f t="shared" si="29"/>
        <v>1</v>
      </c>
      <c r="N192" s="29">
        <f t="shared" si="30"/>
        <v>1</v>
      </c>
      <c r="O192" s="51">
        <f t="shared" si="31"/>
        <v>0.83333333333333337</v>
      </c>
      <c r="P192" s="51">
        <f>(Table48[[#This Row],[S1 Score]]+Table48[[#This Row],[S2 Score]]+Table48[[#This Row],[S3 Score]])/3</f>
        <v>0.56388888888888899</v>
      </c>
    </row>
    <row r="193" spans="2:16" x14ac:dyDescent="0.4">
      <c r="B193" s="2" t="s">
        <v>66</v>
      </c>
      <c r="C193" s="29">
        <f t="shared" si="23"/>
        <v>1</v>
      </c>
      <c r="D193">
        <f t="shared" si="24"/>
        <v>1</v>
      </c>
      <c r="E193">
        <f t="shared" si="25"/>
        <v>1</v>
      </c>
      <c r="F193" s="29"/>
      <c r="G193" s="51">
        <f t="shared" si="26"/>
        <v>0.75</v>
      </c>
      <c r="H193" s="29">
        <f t="shared" si="27"/>
        <v>0</v>
      </c>
      <c r="I193" s="29">
        <f t="shared" si="33"/>
        <v>1</v>
      </c>
      <c r="J193" s="29">
        <f t="shared" si="33"/>
        <v>0</v>
      </c>
      <c r="K193" s="65">
        <f t="shared" si="32"/>
        <v>0.33333333333333331</v>
      </c>
      <c r="L193" s="29">
        <f t="shared" si="28"/>
        <v>1</v>
      </c>
      <c r="M193" s="29">
        <f t="shared" si="29"/>
        <v>1</v>
      </c>
      <c r="N193" s="29">
        <f t="shared" si="30"/>
        <v>1</v>
      </c>
      <c r="O193" s="51">
        <f t="shared" si="31"/>
        <v>1</v>
      </c>
      <c r="P193" s="51">
        <f>(Table48[[#This Row],[S1 Score]]+Table48[[#This Row],[S2 Score]]+Table48[[#This Row],[S3 Score]])/3</f>
        <v>0.69444444444444431</v>
      </c>
    </row>
    <row r="194" spans="2:16" x14ac:dyDescent="0.4">
      <c r="B194" s="2" t="s">
        <v>476</v>
      </c>
      <c r="C194" s="29">
        <f t="shared" si="23"/>
        <v>1</v>
      </c>
      <c r="D194">
        <f t="shared" si="24"/>
        <v>0.5</v>
      </c>
      <c r="E194">
        <f t="shared" si="25"/>
        <v>0.6</v>
      </c>
      <c r="F194" s="29"/>
      <c r="G194" s="51">
        <f t="shared" si="26"/>
        <v>0.52500000000000002</v>
      </c>
      <c r="H194" s="29">
        <f t="shared" si="27"/>
        <v>0</v>
      </c>
      <c r="I194" s="29">
        <f t="shared" si="33"/>
        <v>0</v>
      </c>
      <c r="J194" s="29">
        <f t="shared" si="33"/>
        <v>0</v>
      </c>
      <c r="K194" s="65">
        <f t="shared" si="32"/>
        <v>0</v>
      </c>
      <c r="L194" s="29">
        <f t="shared" si="28"/>
        <v>0.5</v>
      </c>
      <c r="M194" s="29">
        <f t="shared" si="29"/>
        <v>1</v>
      </c>
      <c r="N194" s="29">
        <f t="shared" si="30"/>
        <v>1</v>
      </c>
      <c r="O194" s="51">
        <f t="shared" si="31"/>
        <v>0.83333333333333337</v>
      </c>
      <c r="P194" s="51">
        <f>(Table48[[#This Row],[S1 Score]]+Table48[[#This Row],[S2 Score]]+Table48[[#This Row],[S3 Score]])/3</f>
        <v>0.45277777777777778</v>
      </c>
    </row>
    <row r="195" spans="2:16" x14ac:dyDescent="0.4">
      <c r="B195" s="2" t="s">
        <v>67</v>
      </c>
      <c r="C195" s="29">
        <f t="shared" si="23"/>
        <v>1</v>
      </c>
      <c r="D195">
        <f t="shared" si="24"/>
        <v>0.25</v>
      </c>
      <c r="E195">
        <f t="shared" si="25"/>
        <v>0.6</v>
      </c>
      <c r="F195" s="29"/>
      <c r="G195" s="51">
        <f t="shared" si="26"/>
        <v>0.46250000000000002</v>
      </c>
      <c r="H195" s="29">
        <f t="shared" si="27"/>
        <v>0</v>
      </c>
      <c r="I195" s="29">
        <f t="shared" si="33"/>
        <v>0</v>
      </c>
      <c r="J195" s="29">
        <f t="shared" si="33"/>
        <v>0</v>
      </c>
      <c r="K195" s="65">
        <f t="shared" si="32"/>
        <v>0</v>
      </c>
      <c r="L195" s="29">
        <f t="shared" si="28"/>
        <v>1</v>
      </c>
      <c r="M195" s="29">
        <f t="shared" si="29"/>
        <v>1</v>
      </c>
      <c r="N195" s="29">
        <f t="shared" si="30"/>
        <v>0</v>
      </c>
      <c r="O195" s="51">
        <f t="shared" si="31"/>
        <v>0.66666666666666663</v>
      </c>
      <c r="P195" s="51">
        <f>(Table48[[#This Row],[S1 Score]]+Table48[[#This Row],[S2 Score]]+Table48[[#This Row],[S3 Score]])/3</f>
        <v>0.37638888888888888</v>
      </c>
    </row>
    <row r="196" spans="2:16" x14ac:dyDescent="0.4">
      <c r="B196" s="2" t="s">
        <v>68</v>
      </c>
      <c r="C196" s="29">
        <f t="shared" si="23"/>
        <v>1</v>
      </c>
      <c r="D196">
        <f t="shared" si="24"/>
        <v>0.1</v>
      </c>
      <c r="E196">
        <f t="shared" si="25"/>
        <v>0.6</v>
      </c>
      <c r="F196" s="29"/>
      <c r="G196" s="51">
        <f t="shared" si="26"/>
        <v>0.42500000000000004</v>
      </c>
      <c r="H196" s="29">
        <f t="shared" si="27"/>
        <v>0</v>
      </c>
      <c r="I196" s="29">
        <f t="shared" si="33"/>
        <v>0</v>
      </c>
      <c r="J196" s="29">
        <f t="shared" si="33"/>
        <v>0</v>
      </c>
      <c r="K196" s="65">
        <f t="shared" si="32"/>
        <v>0</v>
      </c>
      <c r="L196" s="29">
        <f t="shared" si="28"/>
        <v>0</v>
      </c>
      <c r="M196" s="29">
        <f t="shared" si="29"/>
        <v>1</v>
      </c>
      <c r="N196" s="29">
        <f t="shared" si="30"/>
        <v>1</v>
      </c>
      <c r="O196" s="51">
        <f t="shared" si="31"/>
        <v>0.66666666666666663</v>
      </c>
      <c r="P196" s="51">
        <f>(Table48[[#This Row],[S1 Score]]+Table48[[#This Row],[S2 Score]]+Table48[[#This Row],[S3 Score]])/3</f>
        <v>0.36388888888888893</v>
      </c>
    </row>
    <row r="197" spans="2:16" x14ac:dyDescent="0.4">
      <c r="B197" s="2" t="s">
        <v>490</v>
      </c>
      <c r="C197" s="29">
        <f t="shared" si="23"/>
        <v>1</v>
      </c>
      <c r="D197">
        <f t="shared" si="24"/>
        <v>0.75</v>
      </c>
      <c r="E197">
        <f t="shared" si="25"/>
        <v>0.6</v>
      </c>
      <c r="F197" s="29"/>
      <c r="G197" s="51">
        <f t="shared" si="26"/>
        <v>0.58750000000000002</v>
      </c>
      <c r="H197" s="29">
        <f t="shared" si="27"/>
        <v>1</v>
      </c>
      <c r="I197" s="29">
        <f t="shared" si="33"/>
        <v>0</v>
      </c>
      <c r="J197" s="29">
        <f t="shared" si="33"/>
        <v>0</v>
      </c>
      <c r="K197" s="65">
        <f t="shared" si="32"/>
        <v>0.33333333333333331</v>
      </c>
      <c r="L197" s="29">
        <f t="shared" si="28"/>
        <v>0</v>
      </c>
      <c r="M197" s="29">
        <f t="shared" si="29"/>
        <v>1</v>
      </c>
      <c r="N197" s="29">
        <f t="shared" si="30"/>
        <v>1</v>
      </c>
      <c r="O197" s="51">
        <f t="shared" si="31"/>
        <v>0.66666666666666663</v>
      </c>
      <c r="P197" s="51">
        <f>(Table48[[#This Row],[S1 Score]]+Table48[[#This Row],[S2 Score]]+Table48[[#This Row],[S3 Score]])/3</f>
        <v>0.52916666666666667</v>
      </c>
    </row>
    <row r="198" spans="2:16" x14ac:dyDescent="0.4">
      <c r="B198" s="2" t="s">
        <v>495</v>
      </c>
      <c r="C198" s="29">
        <f t="shared" si="23"/>
        <v>1</v>
      </c>
      <c r="D198">
        <f t="shared" si="24"/>
        <v>0.5</v>
      </c>
      <c r="E198">
        <f t="shared" si="25"/>
        <v>1</v>
      </c>
      <c r="F198" s="29"/>
      <c r="G198" s="51">
        <f t="shared" si="26"/>
        <v>0.625</v>
      </c>
      <c r="H198" s="29">
        <f t="shared" si="27"/>
        <v>0</v>
      </c>
      <c r="I198" s="29">
        <f t="shared" si="33"/>
        <v>1</v>
      </c>
      <c r="J198" s="29">
        <f t="shared" si="33"/>
        <v>1</v>
      </c>
      <c r="K198" s="65">
        <f t="shared" si="32"/>
        <v>0.66666666666666663</v>
      </c>
      <c r="L198" s="29">
        <f t="shared" si="28"/>
        <v>1</v>
      </c>
      <c r="M198" s="29">
        <f t="shared" si="29"/>
        <v>1</v>
      </c>
      <c r="N198" s="29">
        <f t="shared" si="30"/>
        <v>1</v>
      </c>
      <c r="O198" s="51">
        <f t="shared" si="31"/>
        <v>1</v>
      </c>
      <c r="P198" s="51">
        <f>(Table48[[#This Row],[S1 Score]]+Table48[[#This Row],[S2 Score]]+Table48[[#This Row],[S3 Score]])/3</f>
        <v>0.76388888888888884</v>
      </c>
    </row>
    <row r="199" spans="2:16" x14ac:dyDescent="0.4">
      <c r="B199" s="2" t="s">
        <v>500</v>
      </c>
      <c r="C199" s="29">
        <f t="shared" si="23"/>
        <v>1</v>
      </c>
      <c r="D199">
        <f t="shared" si="24"/>
        <v>0.5</v>
      </c>
      <c r="E199">
        <f t="shared" si="25"/>
        <v>1</v>
      </c>
      <c r="F199" s="29"/>
      <c r="G199" s="51">
        <f t="shared" si="26"/>
        <v>0.625</v>
      </c>
      <c r="H199" s="29">
        <f t="shared" si="27"/>
        <v>1</v>
      </c>
      <c r="I199" s="29">
        <f t="shared" si="33"/>
        <v>0</v>
      </c>
      <c r="J199" s="29">
        <f t="shared" si="33"/>
        <v>0</v>
      </c>
      <c r="K199" s="65">
        <f t="shared" si="32"/>
        <v>0.33333333333333331</v>
      </c>
      <c r="L199" s="29">
        <f t="shared" si="28"/>
        <v>0.5</v>
      </c>
      <c r="M199" s="29">
        <f t="shared" si="29"/>
        <v>1</v>
      </c>
      <c r="N199" s="29">
        <f t="shared" si="30"/>
        <v>1</v>
      </c>
      <c r="O199" s="51">
        <f t="shared" si="31"/>
        <v>0.83333333333333337</v>
      </c>
      <c r="P199" s="51">
        <f>(Table48[[#This Row],[S1 Score]]+Table48[[#This Row],[S2 Score]]+Table48[[#This Row],[S3 Score]])/3</f>
        <v>0.59722222222222221</v>
      </c>
    </row>
    <row r="200" spans="2:16" x14ac:dyDescent="0.4">
      <c r="B200" s="2" t="s">
        <v>70</v>
      </c>
      <c r="C200" s="29">
        <f t="shared" si="23"/>
        <v>1</v>
      </c>
      <c r="D200">
        <f t="shared" si="24"/>
        <v>0.5</v>
      </c>
      <c r="E200">
        <f t="shared" si="25"/>
        <v>0.6</v>
      </c>
      <c r="F200" s="29"/>
      <c r="G200" s="51">
        <f t="shared" si="26"/>
        <v>0.52500000000000002</v>
      </c>
      <c r="H200" s="29">
        <f t="shared" si="27"/>
        <v>1</v>
      </c>
      <c r="I200" s="29">
        <f t="shared" si="33"/>
        <v>1</v>
      </c>
      <c r="J200" s="29">
        <f t="shared" si="33"/>
        <v>0</v>
      </c>
      <c r="K200" s="65">
        <f t="shared" si="32"/>
        <v>0.66666666666666663</v>
      </c>
      <c r="L200" s="29">
        <f t="shared" si="28"/>
        <v>0</v>
      </c>
      <c r="M200" s="29">
        <f t="shared" si="29"/>
        <v>1</v>
      </c>
      <c r="N200" s="29">
        <f t="shared" si="30"/>
        <v>1</v>
      </c>
      <c r="O200" s="51">
        <f t="shared" si="31"/>
        <v>0.66666666666666663</v>
      </c>
      <c r="P200" s="51">
        <f>(Table48[[#This Row],[S1 Score]]+Table48[[#This Row],[S2 Score]]+Table48[[#This Row],[S3 Score]])/3</f>
        <v>0.61944444444444446</v>
      </c>
    </row>
    <row r="201" spans="2:16" x14ac:dyDescent="0.4">
      <c r="B201" s="2" t="s">
        <v>71</v>
      </c>
      <c r="C201" s="29">
        <f t="shared" si="23"/>
        <v>1</v>
      </c>
      <c r="D201">
        <f t="shared" si="24"/>
        <v>0</v>
      </c>
      <c r="E201">
        <f t="shared" si="25"/>
        <v>0.6</v>
      </c>
      <c r="F201" s="29"/>
      <c r="G201" s="51">
        <f t="shared" si="26"/>
        <v>0.4</v>
      </c>
      <c r="H201" s="29">
        <f t="shared" si="27"/>
        <v>0</v>
      </c>
      <c r="I201" s="29">
        <f t="shared" si="33"/>
        <v>0</v>
      </c>
      <c r="J201" s="29">
        <f t="shared" si="33"/>
        <v>0</v>
      </c>
      <c r="K201" s="65">
        <f t="shared" si="32"/>
        <v>0</v>
      </c>
      <c r="L201" s="29">
        <f t="shared" si="28"/>
        <v>0</v>
      </c>
      <c r="M201" s="29">
        <f t="shared" si="29"/>
        <v>1</v>
      </c>
      <c r="N201" s="29">
        <f t="shared" si="30"/>
        <v>0</v>
      </c>
      <c r="O201" s="51">
        <f t="shared" si="31"/>
        <v>0.33333333333333331</v>
      </c>
      <c r="P201" s="51">
        <f>(Table48[[#This Row],[S1 Score]]+Table48[[#This Row],[S2 Score]]+Table48[[#This Row],[S3 Score]])/3</f>
        <v>0.24444444444444446</v>
      </c>
    </row>
    <row r="202" spans="2:16" x14ac:dyDescent="0.4">
      <c r="B202" s="2" t="s">
        <v>72</v>
      </c>
      <c r="C202" s="29">
        <f t="shared" si="23"/>
        <v>1</v>
      </c>
      <c r="D202">
        <f t="shared" si="24"/>
        <v>0.25</v>
      </c>
      <c r="E202">
        <f t="shared" si="25"/>
        <v>0.6</v>
      </c>
      <c r="F202" s="29"/>
      <c r="G202" s="51">
        <f t="shared" si="26"/>
        <v>0.46250000000000002</v>
      </c>
      <c r="H202" s="29">
        <f t="shared" si="27"/>
        <v>1</v>
      </c>
      <c r="I202" s="29">
        <f t="shared" si="33"/>
        <v>0</v>
      </c>
      <c r="J202" s="29">
        <f t="shared" si="33"/>
        <v>1</v>
      </c>
      <c r="K202" s="65">
        <f t="shared" si="32"/>
        <v>0.66666666666666663</v>
      </c>
      <c r="L202" s="29">
        <f t="shared" si="28"/>
        <v>0.5</v>
      </c>
      <c r="M202" s="29">
        <f t="shared" si="29"/>
        <v>1</v>
      </c>
      <c r="N202" s="29">
        <f t="shared" si="30"/>
        <v>0</v>
      </c>
      <c r="O202" s="51">
        <f t="shared" si="31"/>
        <v>0.5</v>
      </c>
      <c r="P202" s="51">
        <f>(Table48[[#This Row],[S1 Score]]+Table48[[#This Row],[S2 Score]]+Table48[[#This Row],[S3 Score]])/3</f>
        <v>0.54305555555555551</v>
      </c>
    </row>
    <row r="203" spans="2:16" x14ac:dyDescent="0.4">
      <c r="B203" s="2" t="s">
        <v>73</v>
      </c>
      <c r="C203" s="29">
        <f t="shared" si="23"/>
        <v>1</v>
      </c>
      <c r="D203">
        <f t="shared" si="24"/>
        <v>0.5</v>
      </c>
      <c r="E203">
        <f t="shared" si="25"/>
        <v>1</v>
      </c>
      <c r="F203" s="29"/>
      <c r="G203" s="51">
        <f t="shared" si="26"/>
        <v>0.625</v>
      </c>
      <c r="H203" s="29">
        <f t="shared" si="27"/>
        <v>1</v>
      </c>
      <c r="I203" s="29">
        <f t="shared" si="33"/>
        <v>1</v>
      </c>
      <c r="J203" s="29">
        <f t="shared" si="33"/>
        <v>0</v>
      </c>
      <c r="K203" s="65">
        <f t="shared" si="32"/>
        <v>0.66666666666666663</v>
      </c>
      <c r="L203" s="29">
        <f t="shared" si="28"/>
        <v>1</v>
      </c>
      <c r="M203" s="29">
        <f t="shared" si="29"/>
        <v>1</v>
      </c>
      <c r="N203" s="29">
        <f t="shared" si="30"/>
        <v>0</v>
      </c>
      <c r="O203" s="51">
        <f t="shared" si="31"/>
        <v>0.66666666666666663</v>
      </c>
      <c r="P203" s="51">
        <f>(Table48[[#This Row],[S1 Score]]+Table48[[#This Row],[S2 Score]]+Table48[[#This Row],[S3 Score]])/3</f>
        <v>0.65277777777777768</v>
      </c>
    </row>
    <row r="204" spans="2:16" x14ac:dyDescent="0.4">
      <c r="B204" s="2" t="s">
        <v>522</v>
      </c>
      <c r="C204" s="29">
        <f t="shared" si="23"/>
        <v>0.6</v>
      </c>
      <c r="D204">
        <f t="shared" si="24"/>
        <v>0</v>
      </c>
      <c r="E204">
        <f t="shared" si="25"/>
        <v>0.6</v>
      </c>
      <c r="F204" s="29"/>
      <c r="G204" s="51">
        <f t="shared" si="26"/>
        <v>0.3</v>
      </c>
      <c r="H204" s="29">
        <f t="shared" si="27"/>
        <v>1</v>
      </c>
      <c r="I204" s="29">
        <f t="shared" si="33"/>
        <v>0</v>
      </c>
      <c r="J204" s="29">
        <f t="shared" si="33"/>
        <v>0</v>
      </c>
      <c r="K204" s="65">
        <f t="shared" si="32"/>
        <v>0.33333333333333331</v>
      </c>
      <c r="L204" s="29">
        <f t="shared" si="28"/>
        <v>0</v>
      </c>
      <c r="M204" s="29">
        <f t="shared" si="29"/>
        <v>1</v>
      </c>
      <c r="N204" s="29">
        <f t="shared" si="30"/>
        <v>1</v>
      </c>
      <c r="O204" s="51">
        <f t="shared" si="31"/>
        <v>0.66666666666666663</v>
      </c>
      <c r="P204" s="51">
        <f>(Table48[[#This Row],[S1 Score]]+Table48[[#This Row],[S2 Score]]+Table48[[#This Row],[S3 Score]])/3</f>
        <v>0.43333333333333329</v>
      </c>
    </row>
    <row r="205" spans="2:16" x14ac:dyDescent="0.4">
      <c r="B205" s="2" t="s">
        <v>528</v>
      </c>
      <c r="C205" s="29">
        <f t="shared" si="23"/>
        <v>1</v>
      </c>
      <c r="D205">
        <f t="shared" si="24"/>
        <v>0.5</v>
      </c>
      <c r="E205">
        <f t="shared" si="25"/>
        <v>1</v>
      </c>
      <c r="F205" s="29"/>
      <c r="G205" s="51">
        <f t="shared" ref="G205:G209" si="34">(C205+D205+E205+F205)/4</f>
        <v>0.625</v>
      </c>
      <c r="H205" s="29">
        <f t="shared" si="27"/>
        <v>0</v>
      </c>
      <c r="I205" s="29">
        <f t="shared" si="33"/>
        <v>1</v>
      </c>
      <c r="J205" s="29">
        <f t="shared" si="33"/>
        <v>1</v>
      </c>
      <c r="K205" s="65">
        <f t="shared" si="32"/>
        <v>0.66666666666666663</v>
      </c>
      <c r="L205" s="29">
        <f t="shared" si="28"/>
        <v>0.5</v>
      </c>
      <c r="M205" s="29">
        <f t="shared" si="29"/>
        <v>1</v>
      </c>
      <c r="N205" s="29">
        <f t="shared" si="30"/>
        <v>1</v>
      </c>
      <c r="O205" s="51">
        <f t="shared" si="31"/>
        <v>0.83333333333333337</v>
      </c>
      <c r="P205" s="51">
        <f>(Table48[[#This Row],[S1 Score]]+Table48[[#This Row],[S2 Score]]+Table48[[#This Row],[S3 Score]])/3</f>
        <v>0.70833333333333337</v>
      </c>
    </row>
    <row r="206" spans="2:16" x14ac:dyDescent="0.4">
      <c r="B206" s="2" t="s">
        <v>74</v>
      </c>
      <c r="C206" s="29">
        <f t="shared" ref="C206:C209" si="35">IF(C101="N/A",0,IF(C101="Metric Only",0.3,IF(C101="Aspirational",0.6,IF(C101="Formal",1))))</f>
        <v>1</v>
      </c>
      <c r="D206">
        <f t="shared" ref="D206:D209" si="36">IF(D101=0,0,IF(D101&gt;=0.6,1,IF(D101&gt;=0.5,0.75,IF(D101&gt;=0.4,0.5,IF(D101&gt;=0.3,0.25,IF(D101&lt;0.3,0.1))))))</f>
        <v>0.5</v>
      </c>
      <c r="E206">
        <f t="shared" ref="E206:E209" si="37">IF(E101="N/A",0,IF(E101="Metric Only",0.3,IF(E101="Aspirational",0.6,IF(E101="Formal",1))))</f>
        <v>0.6</v>
      </c>
      <c r="F206" s="29"/>
      <c r="G206" s="51">
        <f t="shared" si="34"/>
        <v>0.52500000000000002</v>
      </c>
      <c r="H206" s="29">
        <f t="shared" ref="H206:H209" si="38">IF(H101="None",0,IF(H101=1,1,IF(H101=2,1.2)))</f>
        <v>0</v>
      </c>
      <c r="I206" s="29">
        <f t="shared" si="33"/>
        <v>1</v>
      </c>
      <c r="J206" s="29">
        <f t="shared" si="33"/>
        <v>1</v>
      </c>
      <c r="K206" s="65">
        <f t="shared" si="32"/>
        <v>0.66666666666666663</v>
      </c>
      <c r="L206" s="29">
        <f t="shared" ref="L206:L209" si="39">IF(L101="Not Linked",0,IF(L101="Partially Linked",0.5,IF(L101="Linked",1)))</f>
        <v>0</v>
      </c>
      <c r="M206" s="29">
        <f t="shared" ref="M206:M209" si="40">IF(M101="No",0,IF(M101="Yes",1))</f>
        <v>1</v>
      </c>
      <c r="N206" s="29">
        <f t="shared" ref="N206:N209" si="41">IF(N101="",0,IF(N101="No",0,IF(N101="Yes",1)))</f>
        <v>0</v>
      </c>
      <c r="O206" s="51">
        <f t="shared" ref="O206:O209" si="42">(L206+M206+N206)/3</f>
        <v>0.33333333333333331</v>
      </c>
      <c r="P206" s="51">
        <f>(Table48[[#This Row],[S1 Score]]+Table48[[#This Row],[S2 Score]]+Table48[[#This Row],[S3 Score]])/3</f>
        <v>0.5083333333333333</v>
      </c>
    </row>
    <row r="207" spans="2:16" x14ac:dyDescent="0.4">
      <c r="B207" s="2" t="s">
        <v>75</v>
      </c>
      <c r="C207" s="29">
        <f t="shared" si="35"/>
        <v>1</v>
      </c>
      <c r="D207">
        <f t="shared" si="36"/>
        <v>0.5</v>
      </c>
      <c r="E207">
        <f t="shared" si="37"/>
        <v>0.6</v>
      </c>
      <c r="F207" s="29"/>
      <c r="G207" s="51">
        <f t="shared" si="34"/>
        <v>0.52500000000000002</v>
      </c>
      <c r="H207" s="29">
        <f t="shared" si="38"/>
        <v>0</v>
      </c>
      <c r="I207" s="29">
        <f t="shared" si="33"/>
        <v>0</v>
      </c>
      <c r="J207" s="29">
        <f t="shared" si="33"/>
        <v>0</v>
      </c>
      <c r="K207" s="65">
        <f t="shared" si="32"/>
        <v>0</v>
      </c>
      <c r="L207" s="29">
        <f t="shared" si="39"/>
        <v>0.5</v>
      </c>
      <c r="M207" s="29">
        <f t="shared" si="40"/>
        <v>1</v>
      </c>
      <c r="N207" s="29">
        <f t="shared" si="41"/>
        <v>0</v>
      </c>
      <c r="O207" s="51">
        <f t="shared" si="42"/>
        <v>0.5</v>
      </c>
      <c r="P207" s="51">
        <f>(Table48[[#This Row],[S1 Score]]+Table48[[#This Row],[S2 Score]]+Table48[[#This Row],[S3 Score]])/3</f>
        <v>0.34166666666666662</v>
      </c>
    </row>
    <row r="208" spans="2:16" x14ac:dyDescent="0.4">
      <c r="B208" s="2" t="s">
        <v>76</v>
      </c>
      <c r="C208" s="29">
        <f t="shared" si="35"/>
        <v>1</v>
      </c>
      <c r="D208">
        <f t="shared" si="36"/>
        <v>0.75</v>
      </c>
      <c r="E208">
        <f t="shared" si="37"/>
        <v>1</v>
      </c>
      <c r="F208" s="29"/>
      <c r="G208" s="51">
        <f t="shared" si="34"/>
        <v>0.6875</v>
      </c>
      <c r="H208" s="29">
        <f t="shared" si="38"/>
        <v>0</v>
      </c>
      <c r="I208" s="29">
        <f t="shared" si="33"/>
        <v>0</v>
      </c>
      <c r="J208" s="29">
        <f t="shared" si="33"/>
        <v>0</v>
      </c>
      <c r="K208" s="65">
        <f t="shared" si="32"/>
        <v>0</v>
      </c>
      <c r="L208" s="29">
        <f t="shared" si="39"/>
        <v>1</v>
      </c>
      <c r="M208" s="29">
        <f t="shared" si="40"/>
        <v>1</v>
      </c>
      <c r="N208" s="29">
        <f t="shared" si="41"/>
        <v>1</v>
      </c>
      <c r="O208" s="51">
        <f t="shared" si="42"/>
        <v>1</v>
      </c>
      <c r="P208" s="51">
        <f>(Table48[[#This Row],[S1 Score]]+Table48[[#This Row],[S2 Score]]+Table48[[#This Row],[S3 Score]])/3</f>
        <v>0.5625</v>
      </c>
    </row>
    <row r="209" spans="2:16" x14ac:dyDescent="0.4">
      <c r="B209" s="2" t="s">
        <v>77</v>
      </c>
      <c r="C209" s="29">
        <f t="shared" si="35"/>
        <v>1</v>
      </c>
      <c r="D209">
        <f t="shared" si="36"/>
        <v>0.5</v>
      </c>
      <c r="E209">
        <f t="shared" si="37"/>
        <v>1</v>
      </c>
      <c r="F209" s="29"/>
      <c r="G209" s="51">
        <f t="shared" si="34"/>
        <v>0.625</v>
      </c>
      <c r="H209" s="29">
        <f t="shared" si="38"/>
        <v>0</v>
      </c>
      <c r="I209" s="29">
        <f t="shared" si="33"/>
        <v>1</v>
      </c>
      <c r="J209" s="29">
        <f t="shared" si="33"/>
        <v>0</v>
      </c>
      <c r="K209" s="65">
        <f t="shared" si="32"/>
        <v>0.33333333333333331</v>
      </c>
      <c r="L209" s="29">
        <f t="shared" si="39"/>
        <v>1</v>
      </c>
      <c r="M209" s="29">
        <f t="shared" si="40"/>
        <v>1</v>
      </c>
      <c r="N209" s="29">
        <f t="shared" si="41"/>
        <v>0</v>
      </c>
      <c r="O209" s="51">
        <f t="shared" si="42"/>
        <v>0.66666666666666663</v>
      </c>
      <c r="P209" s="51">
        <f>(Table48[[#This Row],[S1 Score]]+Table48[[#This Row],[S2 Score]]+Table48[[#This Row],[S3 Score]])/3</f>
        <v>0.54166666666666663</v>
      </c>
    </row>
  </sheetData>
  <mergeCells count="8">
    <mergeCell ref="R2:T2"/>
    <mergeCell ref="L108:N108"/>
    <mergeCell ref="B2:O2"/>
    <mergeCell ref="B107:O107"/>
    <mergeCell ref="C108:F108"/>
    <mergeCell ref="H108:K108"/>
    <mergeCell ref="C3:F3"/>
    <mergeCell ref="H3:K3"/>
  </mergeCells>
  <conditionalFormatting sqref="G110:G209">
    <cfRule type="colorScale" priority="3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K110:K209">
    <cfRule type="colorScale" priority="5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O110:O209">
    <cfRule type="colorScale" priority="2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P110:P209">
    <cfRule type="colorScale" priority="1">
      <colorScale>
        <cfvo type="min"/>
        <cfvo type="percentile" val="50"/>
        <cfvo type="max"/>
        <color rgb="FF97FF97"/>
        <color rgb="FFFFFF81"/>
        <color rgb="FFFF8181"/>
      </colorScale>
    </cfRule>
  </conditionalFormatting>
  <hyperlinks>
    <hyperlink ref="D105" r:id="rId1" xr:uid="{1B6B0F9E-AA55-4070-9136-AC33A5580F56}"/>
    <hyperlink ref="E105" r:id="rId2" xr:uid="{FC33C650-BAA0-40B8-AED1-6EE1398FB7DA}"/>
    <hyperlink ref="J105" r:id="rId3" xr:uid="{BA07C856-42FC-41D1-BA6E-AB3FAA3D10E2}"/>
  </hyperlinks>
  <pageMargins left="0.7" right="0.7" top="0.75" bottom="0.75" header="0.3" footer="0.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921D-8C42-4EBA-907E-2B8DFA6DFF1B}">
  <sheetPr>
    <tabColor rgb="FFFF0000"/>
  </sheetPr>
  <dimension ref="B1:N208"/>
  <sheetViews>
    <sheetView showGridLines="0" workbookViewId="0">
      <selection activeCell="N2" sqref="N2:N12"/>
    </sheetView>
  </sheetViews>
  <sheetFormatPr defaultRowHeight="14.5" x14ac:dyDescent="0.35"/>
  <cols>
    <col min="1" max="1" width="4.54296875" customWidth="1"/>
    <col min="2" max="2" width="30.81640625" bestFit="1" customWidth="1"/>
    <col min="3" max="3" width="18.6328125" bestFit="1" customWidth="1"/>
    <col min="4" max="4" width="10.26953125" bestFit="1" customWidth="1"/>
    <col min="5" max="5" width="12.90625" bestFit="1" customWidth="1"/>
    <col min="6" max="6" width="15.6328125" bestFit="1" customWidth="1"/>
    <col min="7" max="7" width="8.81640625" bestFit="1" customWidth="1"/>
    <col min="8" max="8" width="26.08984375" bestFit="1" customWidth="1"/>
    <col min="9" max="9" width="18.81640625" bestFit="1" customWidth="1"/>
    <col min="10" max="10" width="25.1796875" bestFit="1" customWidth="1"/>
    <col min="11" max="11" width="8.81640625" bestFit="1" customWidth="1"/>
    <col min="12" max="12" width="17.453125" bestFit="1" customWidth="1"/>
    <col min="13" max="13" width="6.08984375" customWidth="1"/>
    <col min="14" max="14" width="122.81640625" customWidth="1"/>
    <col min="15" max="15" width="42.54296875" bestFit="1" customWidth="1"/>
    <col min="16" max="16" width="79.90625" bestFit="1" customWidth="1"/>
    <col min="17" max="17" width="19.7265625" bestFit="1" customWidth="1"/>
    <col min="18" max="18" width="8.81640625" customWidth="1"/>
    <col min="20" max="20" width="58.453125" bestFit="1" customWidth="1"/>
    <col min="21" max="21" width="42.54296875" bestFit="1" customWidth="1"/>
    <col min="22" max="22" width="79.90625" bestFit="1" customWidth="1"/>
  </cols>
  <sheetData>
    <row r="1" spans="2:14" ht="25" customHeight="1" x14ac:dyDescent="0.35"/>
    <row r="2" spans="2:14" ht="18.5" x14ac:dyDescent="0.45">
      <c r="B2" s="66" t="s">
        <v>765</v>
      </c>
      <c r="C2" s="66"/>
      <c r="D2" s="66"/>
      <c r="E2" s="66"/>
      <c r="F2" s="66"/>
      <c r="G2" s="66"/>
      <c r="H2" s="66"/>
      <c r="I2" s="66"/>
      <c r="J2" s="66"/>
      <c r="K2" s="66"/>
      <c r="L2" s="66"/>
      <c r="N2" s="66" t="s">
        <v>767</v>
      </c>
    </row>
    <row r="3" spans="2:14" ht="16" x14ac:dyDescent="0.4">
      <c r="B3" s="23" t="s">
        <v>679</v>
      </c>
      <c r="C3" s="23" t="s">
        <v>653</v>
      </c>
      <c r="D3" s="23"/>
      <c r="E3" s="23"/>
      <c r="F3" s="23"/>
      <c r="G3" s="23"/>
      <c r="H3" s="23" t="s">
        <v>654</v>
      </c>
      <c r="I3" s="23"/>
      <c r="J3" s="23"/>
      <c r="K3" s="23"/>
      <c r="L3" s="23"/>
      <c r="N3" s="14"/>
    </row>
    <row r="4" spans="2:14" ht="16" x14ac:dyDescent="0.4">
      <c r="B4" s="20" t="s">
        <v>4</v>
      </c>
      <c r="C4" s="2" t="s">
        <v>731</v>
      </c>
      <c r="D4" s="2" t="s">
        <v>664</v>
      </c>
      <c r="E4" s="2" t="s">
        <v>665</v>
      </c>
      <c r="F4" s="2" t="s">
        <v>666</v>
      </c>
      <c r="G4" s="67" t="s">
        <v>713</v>
      </c>
      <c r="H4" s="22" t="s">
        <v>747</v>
      </c>
      <c r="I4" s="22" t="s">
        <v>674</v>
      </c>
      <c r="J4" s="22" t="s">
        <v>748</v>
      </c>
      <c r="K4" s="67" t="s">
        <v>715</v>
      </c>
      <c r="L4" s="67" t="s">
        <v>714</v>
      </c>
      <c r="N4" s="5" t="s">
        <v>768</v>
      </c>
    </row>
    <row r="5" spans="2:14" ht="16" x14ac:dyDescent="0.4">
      <c r="B5" s="2" t="s">
        <v>5</v>
      </c>
      <c r="C5" s="29">
        <v>30</v>
      </c>
      <c r="D5" s="29" t="s">
        <v>693</v>
      </c>
      <c r="E5" s="29" t="s">
        <v>693</v>
      </c>
      <c r="F5" s="29" t="s">
        <v>669</v>
      </c>
      <c r="G5" s="68"/>
      <c r="H5" s="29" t="s">
        <v>754</v>
      </c>
      <c r="I5" s="29" t="s">
        <v>673</v>
      </c>
      <c r="J5" s="29" t="s">
        <v>655</v>
      </c>
      <c r="K5" s="68"/>
      <c r="L5" s="17"/>
      <c r="N5" s="5" t="s">
        <v>769</v>
      </c>
    </row>
    <row r="6" spans="2:14" ht="16" x14ac:dyDescent="0.4">
      <c r="B6" s="2" t="s">
        <v>6</v>
      </c>
      <c r="C6" s="29">
        <v>43</v>
      </c>
      <c r="D6" s="29" t="s">
        <v>703</v>
      </c>
      <c r="E6" s="29" t="s">
        <v>693</v>
      </c>
      <c r="F6" s="29" t="s">
        <v>669</v>
      </c>
      <c r="G6" s="68"/>
      <c r="H6" s="29" t="s">
        <v>756</v>
      </c>
      <c r="I6" s="29" t="s">
        <v>673</v>
      </c>
      <c r="J6" s="29" t="s">
        <v>673</v>
      </c>
      <c r="K6" s="68"/>
      <c r="L6" s="17"/>
      <c r="N6" s="5" t="s">
        <v>771</v>
      </c>
    </row>
    <row r="7" spans="2:14" ht="16" x14ac:dyDescent="0.4">
      <c r="B7" s="2" t="s">
        <v>94</v>
      </c>
      <c r="C7" s="29">
        <v>50</v>
      </c>
      <c r="D7" s="29" t="s">
        <v>693</v>
      </c>
      <c r="E7" s="29" t="s">
        <v>693</v>
      </c>
      <c r="F7" s="29" t="s">
        <v>663</v>
      </c>
      <c r="G7" s="68"/>
      <c r="H7" s="29" t="s">
        <v>755</v>
      </c>
      <c r="I7" s="29" t="s">
        <v>673</v>
      </c>
      <c r="J7" s="29" t="s">
        <v>655</v>
      </c>
      <c r="K7" s="68"/>
      <c r="L7" s="17"/>
      <c r="N7" s="5" t="s">
        <v>770</v>
      </c>
    </row>
    <row r="8" spans="2:14" ht="16" x14ac:dyDescent="0.4">
      <c r="B8" s="2" t="s">
        <v>7</v>
      </c>
      <c r="C8" s="29">
        <v>4</v>
      </c>
      <c r="D8" s="29" t="s">
        <v>693</v>
      </c>
      <c r="E8" s="29" t="s">
        <v>693</v>
      </c>
      <c r="F8" s="29" t="s">
        <v>663</v>
      </c>
      <c r="G8" s="68"/>
      <c r="H8" s="29" t="s">
        <v>756</v>
      </c>
      <c r="I8" s="29" t="s">
        <v>673</v>
      </c>
      <c r="J8" s="29" t="s">
        <v>655</v>
      </c>
      <c r="K8" s="68"/>
      <c r="L8" s="17"/>
      <c r="N8" s="5"/>
    </row>
    <row r="9" spans="2:14" ht="16" x14ac:dyDescent="0.4">
      <c r="B9" s="2" t="s">
        <v>8</v>
      </c>
      <c r="C9" s="29">
        <v>144</v>
      </c>
      <c r="D9" s="29" t="s">
        <v>693</v>
      </c>
      <c r="E9" s="29" t="s">
        <v>673</v>
      </c>
      <c r="F9" s="29" t="s">
        <v>728</v>
      </c>
      <c r="G9" s="68"/>
      <c r="H9" s="29" t="s">
        <v>756</v>
      </c>
      <c r="I9" s="29" t="s">
        <v>673</v>
      </c>
      <c r="J9" s="29" t="s">
        <v>655</v>
      </c>
      <c r="K9" s="68"/>
      <c r="L9" s="68"/>
      <c r="N9" s="14" t="s">
        <v>774</v>
      </c>
    </row>
    <row r="10" spans="2:14" ht="16" x14ac:dyDescent="0.4">
      <c r="B10" s="2" t="s">
        <v>9</v>
      </c>
      <c r="C10" s="29">
        <v>99</v>
      </c>
      <c r="D10" s="29" t="s">
        <v>703</v>
      </c>
      <c r="E10" s="29" t="s">
        <v>655</v>
      </c>
      <c r="F10" s="29" t="s">
        <v>669</v>
      </c>
      <c r="G10" s="68"/>
      <c r="H10" s="29" t="s">
        <v>755</v>
      </c>
      <c r="I10" s="29" t="s">
        <v>673</v>
      </c>
      <c r="J10" s="29" t="s">
        <v>655</v>
      </c>
      <c r="K10" s="68"/>
      <c r="L10" s="68"/>
      <c r="N10" s="14" t="s">
        <v>772</v>
      </c>
    </row>
    <row r="11" spans="2:14" ht="16" x14ac:dyDescent="0.4">
      <c r="B11" s="2" t="s">
        <v>10</v>
      </c>
      <c r="C11" s="29" t="s">
        <v>693</v>
      </c>
      <c r="D11" s="29" t="s">
        <v>703</v>
      </c>
      <c r="E11" s="29" t="s">
        <v>655</v>
      </c>
      <c r="F11" s="29" t="s">
        <v>663</v>
      </c>
      <c r="G11" s="68"/>
      <c r="H11" s="29" t="s">
        <v>756</v>
      </c>
      <c r="I11" s="29" t="s">
        <v>673</v>
      </c>
      <c r="J11" s="29" t="s">
        <v>655</v>
      </c>
      <c r="K11" s="68"/>
      <c r="L11" s="68"/>
      <c r="N11" s="14" t="s">
        <v>773</v>
      </c>
    </row>
    <row r="12" spans="2:14" ht="16" x14ac:dyDescent="0.4">
      <c r="B12" s="2" t="s">
        <v>11</v>
      </c>
      <c r="C12" s="29">
        <v>27</v>
      </c>
      <c r="D12" s="29" t="s">
        <v>703</v>
      </c>
      <c r="E12" s="29" t="s">
        <v>673</v>
      </c>
      <c r="F12" s="29" t="s">
        <v>669</v>
      </c>
      <c r="G12" s="68"/>
      <c r="H12" s="29" t="s">
        <v>755</v>
      </c>
      <c r="I12" s="29" t="s">
        <v>673</v>
      </c>
      <c r="J12" s="29" t="s">
        <v>655</v>
      </c>
      <c r="K12" s="68"/>
      <c r="L12" s="68"/>
      <c r="N12" s="14"/>
    </row>
    <row r="13" spans="2:14" ht="16" x14ac:dyDescent="0.4">
      <c r="B13" s="2" t="s">
        <v>12</v>
      </c>
      <c r="C13" s="29">
        <v>40</v>
      </c>
      <c r="D13" s="29" t="s">
        <v>693</v>
      </c>
      <c r="E13" s="29" t="s">
        <v>673</v>
      </c>
      <c r="F13" s="29" t="s">
        <v>669</v>
      </c>
      <c r="G13" s="68"/>
      <c r="H13" s="29" t="s">
        <v>754</v>
      </c>
      <c r="I13" s="29" t="s">
        <v>673</v>
      </c>
      <c r="J13" s="29" t="s">
        <v>655</v>
      </c>
      <c r="K13" s="68"/>
      <c r="L13" s="68"/>
    </row>
    <row r="14" spans="2:14" ht="16" x14ac:dyDescent="0.4">
      <c r="B14" s="2" t="s">
        <v>13</v>
      </c>
      <c r="C14" s="29">
        <v>18</v>
      </c>
      <c r="D14" s="29" t="s">
        <v>703</v>
      </c>
      <c r="E14" s="29" t="s">
        <v>693</v>
      </c>
      <c r="F14" s="29" t="s">
        <v>669</v>
      </c>
      <c r="G14" s="68"/>
      <c r="H14" s="29" t="s">
        <v>754</v>
      </c>
      <c r="I14" s="29" t="s">
        <v>673</v>
      </c>
      <c r="J14" s="29" t="s">
        <v>673</v>
      </c>
      <c r="K14" s="68"/>
      <c r="L14" s="68"/>
    </row>
    <row r="15" spans="2:14" ht="16" x14ac:dyDescent="0.4">
      <c r="B15" s="2" t="s">
        <v>14</v>
      </c>
      <c r="C15" s="29">
        <v>11</v>
      </c>
      <c r="D15" s="29" t="s">
        <v>667</v>
      </c>
      <c r="E15" s="29" t="s">
        <v>693</v>
      </c>
      <c r="F15" s="29" t="s">
        <v>663</v>
      </c>
      <c r="G15" s="68"/>
      <c r="H15" s="29" t="s">
        <v>754</v>
      </c>
      <c r="I15" s="29" t="s">
        <v>673</v>
      </c>
      <c r="J15" s="29" t="s">
        <v>673</v>
      </c>
      <c r="K15" s="68"/>
      <c r="L15" s="68"/>
    </row>
    <row r="16" spans="2:14" ht="16" x14ac:dyDescent="0.4">
      <c r="B16" s="2" t="s">
        <v>139</v>
      </c>
      <c r="C16" s="29">
        <v>32</v>
      </c>
      <c r="D16" s="29" t="s">
        <v>693</v>
      </c>
      <c r="E16" s="29" t="s">
        <v>693</v>
      </c>
      <c r="F16" s="29" t="s">
        <v>669</v>
      </c>
      <c r="G16" s="68"/>
      <c r="H16" s="29" t="s">
        <v>756</v>
      </c>
      <c r="I16" s="29" t="s">
        <v>673</v>
      </c>
      <c r="J16" s="29" t="s">
        <v>655</v>
      </c>
      <c r="K16" s="68"/>
      <c r="L16" s="68"/>
    </row>
    <row r="17" spans="2:12" ht="16" x14ac:dyDescent="0.4">
      <c r="B17" s="2" t="s">
        <v>15</v>
      </c>
      <c r="C17" s="29">
        <v>6</v>
      </c>
      <c r="D17" s="29" t="s">
        <v>693</v>
      </c>
      <c r="E17" s="29" t="s">
        <v>673</v>
      </c>
      <c r="F17" s="29" t="s">
        <v>669</v>
      </c>
      <c r="G17" s="68"/>
      <c r="H17" s="29" t="s">
        <v>754</v>
      </c>
      <c r="I17" s="29" t="s">
        <v>673</v>
      </c>
      <c r="J17" s="29" t="s">
        <v>655</v>
      </c>
      <c r="K17" s="68"/>
      <c r="L17" s="68"/>
    </row>
    <row r="18" spans="2:12" ht="16" x14ac:dyDescent="0.4">
      <c r="B18" s="2" t="s">
        <v>16</v>
      </c>
      <c r="C18" s="29">
        <v>41</v>
      </c>
      <c r="D18" s="29" t="s">
        <v>667</v>
      </c>
      <c r="E18" s="29" t="s">
        <v>673</v>
      </c>
      <c r="F18" s="29" t="s">
        <v>669</v>
      </c>
      <c r="G18" s="68"/>
      <c r="H18" s="29" t="s">
        <v>754</v>
      </c>
      <c r="I18" s="29" t="s">
        <v>673</v>
      </c>
      <c r="J18" s="29" t="s">
        <v>673</v>
      </c>
      <c r="K18" s="68"/>
      <c r="L18" s="68"/>
    </row>
    <row r="19" spans="2:12" ht="16" x14ac:dyDescent="0.4">
      <c r="B19" s="2" t="s">
        <v>17</v>
      </c>
      <c r="C19" s="29" t="s">
        <v>693</v>
      </c>
      <c r="D19" s="29" t="s">
        <v>702</v>
      </c>
      <c r="E19" s="29" t="s">
        <v>693</v>
      </c>
      <c r="F19" s="29" t="s">
        <v>669</v>
      </c>
      <c r="G19" s="68"/>
      <c r="H19" s="29" t="s">
        <v>755</v>
      </c>
      <c r="I19" s="29" t="s">
        <v>673</v>
      </c>
      <c r="J19" s="29" t="s">
        <v>673</v>
      </c>
      <c r="K19" s="68"/>
      <c r="L19" s="68"/>
    </row>
    <row r="20" spans="2:12" ht="16" x14ac:dyDescent="0.4">
      <c r="B20" s="2" t="s">
        <v>18</v>
      </c>
      <c r="C20" s="29">
        <v>26</v>
      </c>
      <c r="D20" s="29" t="s">
        <v>693</v>
      </c>
      <c r="E20" s="29" t="s">
        <v>693</v>
      </c>
      <c r="F20" s="29" t="s">
        <v>663</v>
      </c>
      <c r="G20" s="68"/>
      <c r="H20" s="29" t="s">
        <v>754</v>
      </c>
      <c r="I20" s="29" t="s">
        <v>673</v>
      </c>
      <c r="J20" s="29" t="s">
        <v>673</v>
      </c>
      <c r="K20" s="68"/>
      <c r="L20" s="68"/>
    </row>
    <row r="21" spans="2:12" ht="16" x14ac:dyDescent="0.4">
      <c r="B21" s="2" t="s">
        <v>163</v>
      </c>
      <c r="C21" s="29">
        <v>30</v>
      </c>
      <c r="D21" s="29" t="s">
        <v>693</v>
      </c>
      <c r="E21" s="29" t="s">
        <v>693</v>
      </c>
      <c r="F21" s="29" t="s">
        <v>669</v>
      </c>
      <c r="G21" s="68"/>
      <c r="H21" s="29" t="s">
        <v>755</v>
      </c>
      <c r="I21" s="29" t="s">
        <v>673</v>
      </c>
      <c r="J21" s="29" t="s">
        <v>673</v>
      </c>
      <c r="K21" s="68"/>
      <c r="L21" s="68"/>
    </row>
    <row r="22" spans="2:12" ht="16" x14ac:dyDescent="0.4">
      <c r="B22" s="2" t="s">
        <v>19</v>
      </c>
      <c r="C22" s="29">
        <v>49</v>
      </c>
      <c r="D22" s="29" t="s">
        <v>693</v>
      </c>
      <c r="E22" s="29" t="s">
        <v>673</v>
      </c>
      <c r="F22" s="29" t="s">
        <v>663</v>
      </c>
      <c r="G22" s="68"/>
      <c r="H22" s="29" t="s">
        <v>754</v>
      </c>
      <c r="I22" s="29" t="s">
        <v>673</v>
      </c>
      <c r="J22" s="29" t="s">
        <v>655</v>
      </c>
      <c r="K22" s="68"/>
      <c r="L22" s="68"/>
    </row>
    <row r="23" spans="2:12" ht="16" x14ac:dyDescent="0.4">
      <c r="B23" s="2" t="s">
        <v>20</v>
      </c>
      <c r="C23" s="29">
        <v>104</v>
      </c>
      <c r="D23" s="29" t="s">
        <v>702</v>
      </c>
      <c r="E23" s="29" t="s">
        <v>655</v>
      </c>
      <c r="F23" s="29" t="s">
        <v>663</v>
      </c>
      <c r="G23" s="68"/>
      <c r="H23" s="29" t="s">
        <v>754</v>
      </c>
      <c r="I23" s="29" t="s">
        <v>673</v>
      </c>
      <c r="J23" s="29" t="s">
        <v>655</v>
      </c>
      <c r="K23" s="68"/>
      <c r="L23" s="68"/>
    </row>
    <row r="24" spans="2:12" ht="16" x14ac:dyDescent="0.4">
      <c r="B24" s="2" t="s">
        <v>21</v>
      </c>
      <c r="C24" s="29">
        <v>27</v>
      </c>
      <c r="D24" s="29" t="s">
        <v>693</v>
      </c>
      <c r="E24" s="29" t="s">
        <v>693</v>
      </c>
      <c r="F24" s="29" t="s">
        <v>663</v>
      </c>
      <c r="G24" s="68"/>
      <c r="H24" s="29" t="s">
        <v>756</v>
      </c>
      <c r="I24" s="29" t="s">
        <v>673</v>
      </c>
      <c r="J24" s="29" t="s">
        <v>673</v>
      </c>
      <c r="K24" s="68"/>
      <c r="L24" s="68"/>
    </row>
    <row r="25" spans="2:12" ht="16" x14ac:dyDescent="0.4">
      <c r="B25" s="2" t="s">
        <v>22</v>
      </c>
      <c r="C25" s="29">
        <v>23</v>
      </c>
      <c r="D25" s="29" t="s">
        <v>702</v>
      </c>
      <c r="E25" s="29" t="s">
        <v>673</v>
      </c>
      <c r="F25" s="29" t="s">
        <v>728</v>
      </c>
      <c r="G25" s="68"/>
      <c r="H25" s="29" t="s">
        <v>756</v>
      </c>
      <c r="I25" s="29" t="s">
        <v>673</v>
      </c>
      <c r="J25" s="29" t="s">
        <v>673</v>
      </c>
      <c r="K25" s="68"/>
      <c r="L25" s="68"/>
    </row>
    <row r="26" spans="2:12" ht="16" x14ac:dyDescent="0.4">
      <c r="B26" s="2" t="s">
        <v>23</v>
      </c>
      <c r="C26" s="29">
        <v>26</v>
      </c>
      <c r="D26" s="29" t="s">
        <v>693</v>
      </c>
      <c r="E26" s="29" t="s">
        <v>655</v>
      </c>
      <c r="F26" s="29" t="s">
        <v>669</v>
      </c>
      <c r="G26" s="68"/>
      <c r="H26" s="29" t="s">
        <v>755</v>
      </c>
      <c r="I26" s="29" t="s">
        <v>673</v>
      </c>
      <c r="J26" s="29" t="s">
        <v>655</v>
      </c>
      <c r="K26" s="68"/>
      <c r="L26" s="68"/>
    </row>
    <row r="27" spans="2:12" ht="16" x14ac:dyDescent="0.4">
      <c r="B27" s="2" t="s">
        <v>190</v>
      </c>
      <c r="C27" s="29">
        <v>28</v>
      </c>
      <c r="D27" s="29" t="s">
        <v>667</v>
      </c>
      <c r="E27" s="29" t="s">
        <v>693</v>
      </c>
      <c r="F27" s="29" t="s">
        <v>663</v>
      </c>
      <c r="G27" s="68"/>
      <c r="H27" s="29" t="s">
        <v>754</v>
      </c>
      <c r="I27" s="29" t="s">
        <v>673</v>
      </c>
      <c r="J27" s="29" t="s">
        <v>673</v>
      </c>
      <c r="K27" s="68"/>
      <c r="L27" s="68"/>
    </row>
    <row r="28" spans="2:12" ht="16" x14ac:dyDescent="0.4">
      <c r="B28" s="2" t="s">
        <v>24</v>
      </c>
      <c r="C28" s="29">
        <v>46</v>
      </c>
      <c r="D28" s="29" t="s">
        <v>703</v>
      </c>
      <c r="E28" s="29" t="s">
        <v>673</v>
      </c>
      <c r="F28" s="29" t="s">
        <v>669</v>
      </c>
      <c r="G28" s="68"/>
      <c r="H28" s="29" t="s">
        <v>756</v>
      </c>
      <c r="I28" s="29" t="s">
        <v>673</v>
      </c>
      <c r="J28" s="29" t="s">
        <v>673</v>
      </c>
      <c r="K28" s="68"/>
      <c r="L28" s="68"/>
    </row>
    <row r="29" spans="2:12" ht="16" x14ac:dyDescent="0.4">
      <c r="B29" s="2" t="s">
        <v>201</v>
      </c>
      <c r="C29" s="29">
        <v>14</v>
      </c>
      <c r="D29" s="29" t="s">
        <v>702</v>
      </c>
      <c r="E29" s="29" t="s">
        <v>673</v>
      </c>
      <c r="F29" s="29" t="s">
        <v>669</v>
      </c>
      <c r="G29" s="68"/>
      <c r="H29" s="29" t="s">
        <v>756</v>
      </c>
      <c r="I29" s="29" t="s">
        <v>673</v>
      </c>
      <c r="J29" s="29" t="s">
        <v>655</v>
      </c>
      <c r="K29" s="68"/>
      <c r="L29" s="68"/>
    </row>
    <row r="30" spans="2:12" ht="16" x14ac:dyDescent="0.4">
      <c r="B30" s="2" t="s">
        <v>25</v>
      </c>
      <c r="C30" s="29">
        <v>42</v>
      </c>
      <c r="D30" s="29" t="s">
        <v>693</v>
      </c>
      <c r="E30" s="29" t="s">
        <v>655</v>
      </c>
      <c r="F30" s="29" t="s">
        <v>669</v>
      </c>
      <c r="G30" s="68"/>
      <c r="H30" s="29" t="s">
        <v>756</v>
      </c>
      <c r="I30" s="29" t="s">
        <v>673</v>
      </c>
      <c r="J30" s="29" t="s">
        <v>673</v>
      </c>
      <c r="K30" s="68"/>
      <c r="L30" s="68"/>
    </row>
    <row r="31" spans="2:12" ht="16" x14ac:dyDescent="0.4">
      <c r="B31" s="2" t="s">
        <v>211</v>
      </c>
      <c r="C31" s="29" t="s">
        <v>693</v>
      </c>
      <c r="D31" s="29" t="s">
        <v>703</v>
      </c>
      <c r="E31" s="29" t="s">
        <v>693</v>
      </c>
      <c r="F31" s="29" t="s">
        <v>669</v>
      </c>
      <c r="G31" s="68"/>
      <c r="H31" s="29" t="s">
        <v>756</v>
      </c>
      <c r="I31" s="29" t="s">
        <v>673</v>
      </c>
      <c r="J31" s="29" t="s">
        <v>655</v>
      </c>
      <c r="K31" s="68"/>
      <c r="L31" s="68"/>
    </row>
    <row r="32" spans="2:12" ht="16" x14ac:dyDescent="0.4">
      <c r="B32" s="2" t="s">
        <v>217</v>
      </c>
      <c r="C32" s="29">
        <v>25</v>
      </c>
      <c r="D32" s="29" t="s">
        <v>667</v>
      </c>
      <c r="E32" s="29" t="s">
        <v>655</v>
      </c>
      <c r="F32" s="29" t="s">
        <v>669</v>
      </c>
      <c r="G32" s="68"/>
      <c r="H32" s="29" t="s">
        <v>756</v>
      </c>
      <c r="I32" s="29" t="s">
        <v>673</v>
      </c>
      <c r="J32" s="29" t="s">
        <v>673</v>
      </c>
      <c r="K32" s="68"/>
      <c r="L32" s="68"/>
    </row>
    <row r="33" spans="2:12" ht="16" x14ac:dyDescent="0.4">
      <c r="B33" s="2" t="s">
        <v>223</v>
      </c>
      <c r="C33" s="29">
        <v>41</v>
      </c>
      <c r="D33" s="29" t="s">
        <v>702</v>
      </c>
      <c r="E33" s="29" t="s">
        <v>655</v>
      </c>
      <c r="F33" s="29" t="s">
        <v>669</v>
      </c>
      <c r="G33" s="68"/>
      <c r="H33" s="29" t="s">
        <v>755</v>
      </c>
      <c r="I33" s="29" t="s">
        <v>673</v>
      </c>
      <c r="J33" s="29" t="s">
        <v>655</v>
      </c>
      <c r="K33" s="68"/>
      <c r="L33" s="68"/>
    </row>
    <row r="34" spans="2:12" ht="16" x14ac:dyDescent="0.4">
      <c r="B34" s="2" t="s">
        <v>27</v>
      </c>
      <c r="C34" s="29">
        <v>71</v>
      </c>
      <c r="D34" s="29" t="s">
        <v>693</v>
      </c>
      <c r="E34" s="29" t="s">
        <v>673</v>
      </c>
      <c r="F34" s="29" t="s">
        <v>669</v>
      </c>
      <c r="G34" s="68"/>
      <c r="H34" s="29" t="s">
        <v>754</v>
      </c>
      <c r="I34" s="29" t="s">
        <v>673</v>
      </c>
      <c r="J34" s="29" t="s">
        <v>655</v>
      </c>
      <c r="K34" s="68"/>
      <c r="L34" s="68"/>
    </row>
    <row r="35" spans="2:12" ht="16" x14ac:dyDescent="0.4">
      <c r="B35" s="2" t="s">
        <v>28</v>
      </c>
      <c r="C35" s="29">
        <v>4</v>
      </c>
      <c r="D35" s="29" t="s">
        <v>704</v>
      </c>
      <c r="E35" s="29" t="s">
        <v>693</v>
      </c>
      <c r="F35" s="29" t="s">
        <v>663</v>
      </c>
      <c r="G35" s="68"/>
      <c r="H35" s="29" t="s">
        <v>755</v>
      </c>
      <c r="I35" s="29" t="s">
        <v>673</v>
      </c>
      <c r="J35" s="29" t="s">
        <v>673</v>
      </c>
      <c r="K35" s="68"/>
      <c r="L35" s="68"/>
    </row>
    <row r="36" spans="2:12" ht="16" x14ac:dyDescent="0.4">
      <c r="B36" s="2" t="s">
        <v>236</v>
      </c>
      <c r="C36" s="29">
        <v>98</v>
      </c>
      <c r="D36" s="29" t="s">
        <v>703</v>
      </c>
      <c r="E36" s="29" t="s">
        <v>655</v>
      </c>
      <c r="F36" s="29" t="s">
        <v>669</v>
      </c>
      <c r="G36" s="68"/>
      <c r="H36" s="29" t="s">
        <v>755</v>
      </c>
      <c r="I36" s="29" t="s">
        <v>673</v>
      </c>
      <c r="J36" s="29" t="s">
        <v>673</v>
      </c>
      <c r="K36" s="68"/>
      <c r="L36" s="68"/>
    </row>
    <row r="37" spans="2:12" ht="16" x14ac:dyDescent="0.4">
      <c r="B37" s="2" t="s">
        <v>29</v>
      </c>
      <c r="C37" s="29">
        <v>42</v>
      </c>
      <c r="D37" s="29" t="s">
        <v>703</v>
      </c>
      <c r="E37" s="29" t="s">
        <v>693</v>
      </c>
      <c r="F37" s="29" t="s">
        <v>669</v>
      </c>
      <c r="G37" s="68"/>
      <c r="H37" s="29" t="s">
        <v>756</v>
      </c>
      <c r="I37" s="29" t="s">
        <v>673</v>
      </c>
      <c r="J37" s="29" t="s">
        <v>673</v>
      </c>
      <c r="K37" s="68"/>
      <c r="L37" s="68"/>
    </row>
    <row r="38" spans="2:12" ht="16" x14ac:dyDescent="0.4">
      <c r="B38" s="2" t="s">
        <v>694</v>
      </c>
      <c r="C38" s="29">
        <v>5</v>
      </c>
      <c r="D38" s="29" t="s">
        <v>693</v>
      </c>
      <c r="E38" s="29" t="s">
        <v>673</v>
      </c>
      <c r="F38" s="29" t="s">
        <v>728</v>
      </c>
      <c r="G38" s="68"/>
      <c r="H38" s="29" t="s">
        <v>756</v>
      </c>
      <c r="I38" s="29" t="s">
        <v>673</v>
      </c>
      <c r="J38" s="29" t="s">
        <v>655</v>
      </c>
      <c r="K38" s="68"/>
      <c r="L38" s="68"/>
    </row>
    <row r="39" spans="2:12" ht="16" x14ac:dyDescent="0.4">
      <c r="B39" s="2" t="s">
        <v>30</v>
      </c>
      <c r="C39" s="29">
        <v>28</v>
      </c>
      <c r="D39" s="29" t="s">
        <v>667</v>
      </c>
      <c r="E39" s="29" t="s">
        <v>693</v>
      </c>
      <c r="F39" s="29" t="s">
        <v>669</v>
      </c>
      <c r="G39" s="68"/>
      <c r="H39" s="29" t="s">
        <v>754</v>
      </c>
      <c r="I39" s="29" t="s">
        <v>673</v>
      </c>
      <c r="J39" s="29" t="s">
        <v>655</v>
      </c>
      <c r="K39" s="68"/>
      <c r="L39" s="68"/>
    </row>
    <row r="40" spans="2:12" ht="16" x14ac:dyDescent="0.4">
      <c r="B40" s="2" t="s">
        <v>31</v>
      </c>
      <c r="C40" s="29" t="s">
        <v>693</v>
      </c>
      <c r="D40" s="29" t="s">
        <v>693</v>
      </c>
      <c r="E40" s="29" t="s">
        <v>693</v>
      </c>
      <c r="F40" s="29" t="s">
        <v>663</v>
      </c>
      <c r="G40" s="68"/>
      <c r="H40" s="29" t="s">
        <v>756</v>
      </c>
      <c r="I40" s="29" t="s">
        <v>673</v>
      </c>
      <c r="J40" s="29" t="s">
        <v>655</v>
      </c>
      <c r="K40" s="68"/>
      <c r="L40" s="68"/>
    </row>
    <row r="41" spans="2:12" ht="16" x14ac:dyDescent="0.4">
      <c r="B41" s="2" t="s">
        <v>32</v>
      </c>
      <c r="C41" s="29">
        <v>2</v>
      </c>
      <c r="D41" s="29" t="s">
        <v>704</v>
      </c>
      <c r="E41" s="29" t="s">
        <v>693</v>
      </c>
      <c r="F41" s="29" t="s">
        <v>669</v>
      </c>
      <c r="G41" s="68"/>
      <c r="H41" s="29" t="s">
        <v>755</v>
      </c>
      <c r="I41" s="29" t="s">
        <v>673</v>
      </c>
      <c r="J41" s="29" t="s">
        <v>655</v>
      </c>
      <c r="K41" s="68"/>
      <c r="L41" s="68"/>
    </row>
    <row r="42" spans="2:12" ht="16" x14ac:dyDescent="0.4">
      <c r="B42" s="2" t="s">
        <v>33</v>
      </c>
      <c r="C42" s="29">
        <v>1</v>
      </c>
      <c r="D42" s="29" t="s">
        <v>693</v>
      </c>
      <c r="E42" s="29" t="s">
        <v>693</v>
      </c>
      <c r="F42" s="29" t="s">
        <v>663</v>
      </c>
      <c r="G42" s="68"/>
      <c r="H42" s="29" t="s">
        <v>756</v>
      </c>
      <c r="I42" s="29" t="s">
        <v>673</v>
      </c>
      <c r="J42" s="29" t="s">
        <v>655</v>
      </c>
      <c r="K42" s="68"/>
      <c r="L42" s="68"/>
    </row>
    <row r="43" spans="2:12" ht="16" x14ac:dyDescent="0.4">
      <c r="B43" s="2" t="s">
        <v>34</v>
      </c>
      <c r="C43" s="29">
        <v>70</v>
      </c>
      <c r="D43" s="29" t="s">
        <v>693</v>
      </c>
      <c r="E43" s="29" t="s">
        <v>673</v>
      </c>
      <c r="F43" s="29" t="s">
        <v>669</v>
      </c>
      <c r="G43" s="68"/>
      <c r="H43" s="29" t="s">
        <v>756</v>
      </c>
      <c r="I43" s="29" t="s">
        <v>673</v>
      </c>
      <c r="J43" s="29" t="s">
        <v>655</v>
      </c>
      <c r="K43" s="68"/>
      <c r="L43" s="68"/>
    </row>
    <row r="44" spans="2:12" ht="16" x14ac:dyDescent="0.4">
      <c r="B44" s="2" t="s">
        <v>269</v>
      </c>
      <c r="C44" s="29">
        <v>54</v>
      </c>
      <c r="D44" s="29" t="s">
        <v>702</v>
      </c>
      <c r="E44" s="29" t="s">
        <v>673</v>
      </c>
      <c r="F44" s="29" t="s">
        <v>669</v>
      </c>
      <c r="G44" s="68"/>
      <c r="H44" s="29" t="s">
        <v>754</v>
      </c>
      <c r="I44" s="29" t="s">
        <v>673</v>
      </c>
      <c r="J44" s="29" t="s">
        <v>655</v>
      </c>
      <c r="K44" s="68"/>
      <c r="L44" s="68"/>
    </row>
    <row r="45" spans="2:12" ht="16" x14ac:dyDescent="0.4">
      <c r="B45" s="2" t="s">
        <v>35</v>
      </c>
      <c r="C45" s="29">
        <v>76</v>
      </c>
      <c r="D45" s="29" t="s">
        <v>703</v>
      </c>
      <c r="E45" s="29" t="s">
        <v>673</v>
      </c>
      <c r="F45" s="29" t="s">
        <v>669</v>
      </c>
      <c r="G45" s="68"/>
      <c r="H45" s="29" t="s">
        <v>754</v>
      </c>
      <c r="I45" s="29" t="s">
        <v>673</v>
      </c>
      <c r="J45" s="29" t="s">
        <v>673</v>
      </c>
      <c r="K45" s="68"/>
      <c r="L45" s="68"/>
    </row>
    <row r="46" spans="2:12" ht="16" x14ac:dyDescent="0.4">
      <c r="B46" s="2" t="s">
        <v>36</v>
      </c>
      <c r="C46" s="29">
        <v>33</v>
      </c>
      <c r="D46" s="29" t="s">
        <v>703</v>
      </c>
      <c r="E46" s="29" t="s">
        <v>693</v>
      </c>
      <c r="F46" s="29" t="s">
        <v>669</v>
      </c>
      <c r="G46" s="68"/>
      <c r="H46" s="29" t="s">
        <v>756</v>
      </c>
      <c r="I46" s="29" t="s">
        <v>673</v>
      </c>
      <c r="J46" s="29" t="s">
        <v>673</v>
      </c>
      <c r="K46" s="68"/>
      <c r="L46" s="68"/>
    </row>
    <row r="47" spans="2:12" ht="16" x14ac:dyDescent="0.4">
      <c r="B47" s="2" t="s">
        <v>282</v>
      </c>
      <c r="C47" s="29">
        <v>1</v>
      </c>
      <c r="D47" s="29" t="s">
        <v>693</v>
      </c>
      <c r="E47" s="29" t="s">
        <v>693</v>
      </c>
      <c r="F47" s="29" t="s">
        <v>663</v>
      </c>
      <c r="G47" s="68"/>
      <c r="H47" s="29" t="s">
        <v>756</v>
      </c>
      <c r="I47" s="29" t="s">
        <v>673</v>
      </c>
      <c r="J47" s="29" t="s">
        <v>655</v>
      </c>
      <c r="K47" s="68"/>
      <c r="L47" s="68"/>
    </row>
    <row r="48" spans="2:12" ht="16" x14ac:dyDescent="0.4">
      <c r="B48" s="2" t="s">
        <v>287</v>
      </c>
      <c r="C48" s="29">
        <v>53</v>
      </c>
      <c r="D48" s="29" t="s">
        <v>703</v>
      </c>
      <c r="E48" s="29" t="s">
        <v>693</v>
      </c>
      <c r="F48" s="29" t="s">
        <v>669</v>
      </c>
      <c r="G48" s="68"/>
      <c r="H48" s="29" t="s">
        <v>755</v>
      </c>
      <c r="I48" s="29" t="s">
        <v>673</v>
      </c>
      <c r="J48" s="29" t="s">
        <v>655</v>
      </c>
      <c r="K48" s="68"/>
      <c r="L48" s="68"/>
    </row>
    <row r="49" spans="2:12" ht="16" x14ac:dyDescent="0.4">
      <c r="B49" s="2" t="s">
        <v>37</v>
      </c>
      <c r="C49" s="29">
        <v>1</v>
      </c>
      <c r="D49" s="29" t="s">
        <v>703</v>
      </c>
      <c r="E49" s="29" t="s">
        <v>693</v>
      </c>
      <c r="F49" s="29" t="s">
        <v>663</v>
      </c>
      <c r="G49" s="68"/>
      <c r="H49" s="29" t="s">
        <v>754</v>
      </c>
      <c r="I49" s="29" t="s">
        <v>673</v>
      </c>
      <c r="J49" s="29" t="s">
        <v>673</v>
      </c>
      <c r="K49" s="68"/>
      <c r="L49" s="68"/>
    </row>
    <row r="50" spans="2:12" ht="16" x14ac:dyDescent="0.4">
      <c r="B50" s="2" t="s">
        <v>297</v>
      </c>
      <c r="C50" s="29">
        <v>10</v>
      </c>
      <c r="D50" s="29" t="s">
        <v>703</v>
      </c>
      <c r="E50" s="29" t="s">
        <v>693</v>
      </c>
      <c r="F50" s="29" t="s">
        <v>663</v>
      </c>
      <c r="G50" s="68"/>
      <c r="H50" s="29" t="s">
        <v>755</v>
      </c>
      <c r="I50" s="29" t="s">
        <v>673</v>
      </c>
      <c r="J50" s="29" t="s">
        <v>655</v>
      </c>
      <c r="K50" s="68"/>
      <c r="L50" s="68"/>
    </row>
    <row r="51" spans="2:12" ht="16" x14ac:dyDescent="0.4">
      <c r="B51" s="2" t="s">
        <v>38</v>
      </c>
      <c r="C51" s="29">
        <v>31</v>
      </c>
      <c r="D51" s="29" t="s">
        <v>693</v>
      </c>
      <c r="E51" s="29" t="s">
        <v>673</v>
      </c>
      <c r="F51" s="29" t="s">
        <v>669</v>
      </c>
      <c r="G51" s="68"/>
      <c r="H51" s="29" t="s">
        <v>756</v>
      </c>
      <c r="I51" s="29" t="s">
        <v>673</v>
      </c>
      <c r="J51" s="29" t="s">
        <v>655</v>
      </c>
      <c r="K51" s="68"/>
      <c r="L51" s="68"/>
    </row>
    <row r="52" spans="2:12" ht="16" x14ac:dyDescent="0.4">
      <c r="B52" s="2" t="s">
        <v>307</v>
      </c>
      <c r="C52" s="29">
        <v>1</v>
      </c>
      <c r="D52" s="29" t="s">
        <v>703</v>
      </c>
      <c r="E52" s="29" t="s">
        <v>693</v>
      </c>
      <c r="F52" s="29" t="s">
        <v>663</v>
      </c>
      <c r="G52" s="68"/>
      <c r="H52" s="29" t="s">
        <v>755</v>
      </c>
      <c r="I52" s="29" t="s">
        <v>673</v>
      </c>
      <c r="J52" s="29" t="s">
        <v>673</v>
      </c>
      <c r="K52" s="68"/>
      <c r="L52" s="68"/>
    </row>
    <row r="53" spans="2:12" ht="16" x14ac:dyDescent="0.4">
      <c r="B53" s="2" t="s">
        <v>40</v>
      </c>
      <c r="C53" s="29">
        <v>38</v>
      </c>
      <c r="D53" s="29" t="s">
        <v>702</v>
      </c>
      <c r="E53" s="29" t="s">
        <v>673</v>
      </c>
      <c r="F53" s="29" t="s">
        <v>669</v>
      </c>
      <c r="G53" s="68"/>
      <c r="H53" s="29" t="s">
        <v>756</v>
      </c>
      <c r="I53" s="29" t="s">
        <v>673</v>
      </c>
      <c r="J53" s="29" t="s">
        <v>673</v>
      </c>
      <c r="K53" s="68"/>
      <c r="L53" s="68"/>
    </row>
    <row r="54" spans="2:12" ht="16" x14ac:dyDescent="0.4">
      <c r="B54" s="2" t="s">
        <v>41</v>
      </c>
      <c r="C54" s="29">
        <v>56</v>
      </c>
      <c r="D54" s="29" t="s">
        <v>693</v>
      </c>
      <c r="E54" s="29" t="s">
        <v>693</v>
      </c>
      <c r="F54" s="29" t="s">
        <v>669</v>
      </c>
      <c r="G54" s="68"/>
      <c r="H54" s="29" t="s">
        <v>756</v>
      </c>
      <c r="I54" s="29" t="s">
        <v>673</v>
      </c>
      <c r="J54" s="29" t="s">
        <v>673</v>
      </c>
      <c r="K54" s="68"/>
      <c r="L54" s="68"/>
    </row>
    <row r="55" spans="2:12" ht="16" x14ac:dyDescent="0.4">
      <c r="B55" s="2" t="s">
        <v>320</v>
      </c>
      <c r="C55" s="29">
        <v>65</v>
      </c>
      <c r="D55" s="29" t="s">
        <v>693</v>
      </c>
      <c r="E55" s="29" t="s">
        <v>673</v>
      </c>
      <c r="F55" s="29" t="s">
        <v>663</v>
      </c>
      <c r="G55" s="68"/>
      <c r="H55" s="29" t="s">
        <v>754</v>
      </c>
      <c r="I55" s="29" t="s">
        <v>673</v>
      </c>
      <c r="J55" s="29" t="s">
        <v>655</v>
      </c>
      <c r="K55" s="68"/>
      <c r="L55" s="68"/>
    </row>
    <row r="56" spans="2:12" ht="16" x14ac:dyDescent="0.4">
      <c r="B56" s="2" t="s">
        <v>42</v>
      </c>
      <c r="C56" s="29">
        <v>69</v>
      </c>
      <c r="D56" s="29" t="s">
        <v>667</v>
      </c>
      <c r="E56" s="29" t="s">
        <v>693</v>
      </c>
      <c r="F56" s="29" t="s">
        <v>669</v>
      </c>
      <c r="G56" s="68"/>
      <c r="H56" s="29" t="s">
        <v>754</v>
      </c>
      <c r="I56" s="29" t="s">
        <v>673</v>
      </c>
      <c r="J56" s="29" t="s">
        <v>673</v>
      </c>
      <c r="K56" s="68"/>
      <c r="L56" s="68"/>
    </row>
    <row r="57" spans="2:12" ht="16" x14ac:dyDescent="0.4">
      <c r="B57" s="2" t="s">
        <v>329</v>
      </c>
      <c r="C57" s="29">
        <v>136</v>
      </c>
      <c r="D57" s="29" t="s">
        <v>667</v>
      </c>
      <c r="E57" s="29" t="s">
        <v>673</v>
      </c>
      <c r="F57" s="29" t="s">
        <v>669</v>
      </c>
      <c r="G57" s="68"/>
      <c r="H57" s="29" t="s">
        <v>755</v>
      </c>
      <c r="I57" s="29" t="s">
        <v>673</v>
      </c>
      <c r="J57" s="29" t="s">
        <v>655</v>
      </c>
      <c r="K57" s="68"/>
      <c r="L57" s="68"/>
    </row>
    <row r="58" spans="2:12" ht="16" x14ac:dyDescent="0.4">
      <c r="B58" s="2" t="s">
        <v>334</v>
      </c>
      <c r="C58" s="29">
        <v>80</v>
      </c>
      <c r="D58" s="29" t="s">
        <v>693</v>
      </c>
      <c r="E58" s="29" t="s">
        <v>693</v>
      </c>
      <c r="F58" s="29" t="s">
        <v>663</v>
      </c>
      <c r="G58" s="68"/>
      <c r="H58" s="29" t="s">
        <v>756</v>
      </c>
      <c r="I58" s="29" t="s">
        <v>673</v>
      </c>
      <c r="J58" s="29" t="s">
        <v>655</v>
      </c>
      <c r="K58" s="68"/>
      <c r="L58" s="68"/>
    </row>
    <row r="59" spans="2:12" ht="16" x14ac:dyDescent="0.4">
      <c r="B59" s="2" t="s">
        <v>43</v>
      </c>
      <c r="C59" s="29">
        <v>1</v>
      </c>
      <c r="D59" s="29" t="s">
        <v>702</v>
      </c>
      <c r="E59" s="29" t="s">
        <v>655</v>
      </c>
      <c r="F59" s="29"/>
      <c r="G59" s="68"/>
      <c r="H59" s="29" t="s">
        <v>755</v>
      </c>
      <c r="I59" s="29" t="s">
        <v>673</v>
      </c>
      <c r="J59" s="29" t="s">
        <v>673</v>
      </c>
      <c r="K59" s="68"/>
      <c r="L59" s="68"/>
    </row>
    <row r="60" spans="2:12" ht="16" x14ac:dyDescent="0.4">
      <c r="B60" s="2" t="s">
        <v>44</v>
      </c>
      <c r="C60" s="29">
        <v>49</v>
      </c>
      <c r="D60" s="29" t="s">
        <v>702</v>
      </c>
      <c r="E60" s="29" t="s">
        <v>673</v>
      </c>
      <c r="F60" s="29"/>
      <c r="G60" s="68"/>
      <c r="H60" s="29" t="s">
        <v>756</v>
      </c>
      <c r="I60" s="29" t="s">
        <v>673</v>
      </c>
      <c r="J60" s="29" t="s">
        <v>673</v>
      </c>
      <c r="K60" s="68"/>
      <c r="L60" s="68"/>
    </row>
    <row r="61" spans="2:12" ht="16" x14ac:dyDescent="0.4">
      <c r="B61" s="2" t="s">
        <v>45</v>
      </c>
      <c r="C61" s="29">
        <v>58</v>
      </c>
      <c r="D61" s="29" t="s">
        <v>693</v>
      </c>
      <c r="E61" s="29" t="s">
        <v>693</v>
      </c>
      <c r="F61" s="29" t="s">
        <v>669</v>
      </c>
      <c r="G61" s="68"/>
      <c r="H61" s="29" t="s">
        <v>754</v>
      </c>
      <c r="I61" s="29" t="s">
        <v>673</v>
      </c>
      <c r="J61" s="29" t="s">
        <v>673</v>
      </c>
      <c r="K61" s="68"/>
      <c r="L61" s="68"/>
    </row>
    <row r="62" spans="2:12" ht="16" x14ac:dyDescent="0.4">
      <c r="B62" s="2" t="s">
        <v>46</v>
      </c>
      <c r="C62" s="29">
        <v>73</v>
      </c>
      <c r="D62" s="29" t="s">
        <v>702</v>
      </c>
      <c r="E62" s="29" t="s">
        <v>693</v>
      </c>
      <c r="F62" s="29" t="s">
        <v>663</v>
      </c>
      <c r="G62" s="68"/>
      <c r="H62" s="29" t="s">
        <v>754</v>
      </c>
      <c r="I62" s="29" t="s">
        <v>673</v>
      </c>
      <c r="J62" s="29" t="s">
        <v>673</v>
      </c>
      <c r="K62" s="68"/>
      <c r="L62" s="68"/>
    </row>
    <row r="63" spans="2:12" ht="16" x14ac:dyDescent="0.4">
      <c r="B63" s="2" t="s">
        <v>47</v>
      </c>
      <c r="C63" s="29">
        <v>145</v>
      </c>
      <c r="D63" s="29" t="s">
        <v>667</v>
      </c>
      <c r="E63" s="29" t="s">
        <v>673</v>
      </c>
      <c r="F63" s="29" t="s">
        <v>669</v>
      </c>
      <c r="G63" s="68"/>
      <c r="H63" s="29" t="s">
        <v>754</v>
      </c>
      <c r="I63" s="29" t="s">
        <v>673</v>
      </c>
      <c r="J63" s="29" t="s">
        <v>673</v>
      </c>
      <c r="K63" s="68"/>
      <c r="L63" s="68"/>
    </row>
    <row r="64" spans="2:12" ht="16" x14ac:dyDescent="0.4">
      <c r="B64" s="2" t="s">
        <v>362</v>
      </c>
      <c r="C64" s="29">
        <v>40</v>
      </c>
      <c r="D64" s="29" t="s">
        <v>667</v>
      </c>
      <c r="E64" s="29" t="s">
        <v>693</v>
      </c>
      <c r="F64" s="29" t="s">
        <v>669</v>
      </c>
      <c r="G64" s="68"/>
      <c r="H64" s="29" t="s">
        <v>756</v>
      </c>
      <c r="I64" s="29" t="s">
        <v>673</v>
      </c>
      <c r="J64" s="29" t="s">
        <v>673</v>
      </c>
      <c r="K64" s="68"/>
      <c r="L64" s="68"/>
    </row>
    <row r="65" spans="2:12" ht="16" x14ac:dyDescent="0.4">
      <c r="B65" s="2" t="s">
        <v>367</v>
      </c>
      <c r="C65" s="29">
        <v>59</v>
      </c>
      <c r="D65" s="29" t="s">
        <v>667</v>
      </c>
      <c r="E65" s="29" t="s">
        <v>673</v>
      </c>
      <c r="F65" s="29" t="s">
        <v>669</v>
      </c>
      <c r="G65" s="68"/>
      <c r="H65" s="29" t="s">
        <v>754</v>
      </c>
      <c r="I65" s="29" t="s">
        <v>673</v>
      </c>
      <c r="J65" s="29" t="s">
        <v>673</v>
      </c>
      <c r="K65" s="68"/>
      <c r="L65" s="68"/>
    </row>
    <row r="66" spans="2:12" ht="16" x14ac:dyDescent="0.4">
      <c r="B66" s="2" t="s">
        <v>48</v>
      </c>
      <c r="C66" s="29">
        <v>33</v>
      </c>
      <c r="D66" s="29" t="s">
        <v>704</v>
      </c>
      <c r="E66" s="29" t="s">
        <v>693</v>
      </c>
      <c r="F66" s="29" t="s">
        <v>669</v>
      </c>
      <c r="G66" s="68"/>
      <c r="H66" s="29" t="s">
        <v>756</v>
      </c>
      <c r="I66" s="29" t="s">
        <v>673</v>
      </c>
      <c r="J66" s="29" t="s">
        <v>655</v>
      </c>
      <c r="K66" s="68"/>
      <c r="L66" s="68"/>
    </row>
    <row r="67" spans="2:12" ht="16" x14ac:dyDescent="0.4">
      <c r="B67" s="2" t="s">
        <v>49</v>
      </c>
      <c r="C67" s="29">
        <v>59</v>
      </c>
      <c r="D67" s="29" t="s">
        <v>703</v>
      </c>
      <c r="E67" s="29" t="s">
        <v>655</v>
      </c>
      <c r="F67" s="29" t="s">
        <v>669</v>
      </c>
      <c r="G67" s="68"/>
      <c r="H67" s="29" t="s">
        <v>755</v>
      </c>
      <c r="I67" s="29" t="s">
        <v>673</v>
      </c>
      <c r="J67" s="29" t="s">
        <v>673</v>
      </c>
      <c r="K67" s="68"/>
      <c r="L67" s="68"/>
    </row>
    <row r="68" spans="2:12" ht="16" x14ac:dyDescent="0.4">
      <c r="B68" s="2" t="s">
        <v>50</v>
      </c>
      <c r="C68" s="29">
        <v>86</v>
      </c>
      <c r="D68" s="29" t="s">
        <v>703</v>
      </c>
      <c r="E68" s="29" t="s">
        <v>673</v>
      </c>
      <c r="F68" s="29" t="s">
        <v>663</v>
      </c>
      <c r="G68" s="68"/>
      <c r="H68" s="29" t="s">
        <v>755</v>
      </c>
      <c r="I68" s="29" t="s">
        <v>673</v>
      </c>
      <c r="J68" s="29" t="s">
        <v>673</v>
      </c>
      <c r="K68" s="68"/>
      <c r="L68" s="68"/>
    </row>
    <row r="69" spans="2:12" ht="16" x14ac:dyDescent="0.4">
      <c r="B69" s="2" t="s">
        <v>51</v>
      </c>
      <c r="C69" s="29">
        <v>109</v>
      </c>
      <c r="D69" s="29" t="s">
        <v>667</v>
      </c>
      <c r="E69" s="29" t="s">
        <v>673</v>
      </c>
      <c r="F69" s="29" t="s">
        <v>669</v>
      </c>
      <c r="G69" s="68"/>
      <c r="H69" s="29" t="s">
        <v>756</v>
      </c>
      <c r="I69" s="29" t="s">
        <v>673</v>
      </c>
      <c r="J69" s="29" t="s">
        <v>655</v>
      </c>
      <c r="K69" s="68"/>
      <c r="L69" s="68"/>
    </row>
    <row r="70" spans="2:12" ht="16" x14ac:dyDescent="0.4">
      <c r="B70" s="2" t="s">
        <v>52</v>
      </c>
      <c r="C70" s="29">
        <v>8</v>
      </c>
      <c r="D70" s="29" t="s">
        <v>667</v>
      </c>
      <c r="E70" s="29" t="s">
        <v>673</v>
      </c>
      <c r="F70" s="29" t="s">
        <v>669</v>
      </c>
      <c r="G70" s="68"/>
      <c r="H70" s="29" t="s">
        <v>754</v>
      </c>
      <c r="I70" s="29" t="s">
        <v>673</v>
      </c>
      <c r="J70" s="29" t="s">
        <v>655</v>
      </c>
      <c r="K70" s="68"/>
      <c r="L70" s="68"/>
    </row>
    <row r="71" spans="2:12" ht="16" x14ac:dyDescent="0.4">
      <c r="B71" s="2" t="s">
        <v>53</v>
      </c>
      <c r="C71" s="29">
        <v>99</v>
      </c>
      <c r="D71" s="29" t="s">
        <v>702</v>
      </c>
      <c r="E71" s="29" t="s">
        <v>693</v>
      </c>
      <c r="F71" s="29" t="s">
        <v>663</v>
      </c>
      <c r="G71" s="68"/>
      <c r="H71" s="29" t="s">
        <v>756</v>
      </c>
      <c r="I71" s="29" t="s">
        <v>673</v>
      </c>
      <c r="J71" s="29" t="s">
        <v>655</v>
      </c>
      <c r="K71" s="68"/>
      <c r="L71" s="68"/>
    </row>
    <row r="72" spans="2:12" ht="16" x14ac:dyDescent="0.4">
      <c r="B72" s="2" t="s">
        <v>398</v>
      </c>
      <c r="C72" s="29">
        <v>58</v>
      </c>
      <c r="D72" s="29" t="s">
        <v>693</v>
      </c>
      <c r="E72" s="29" t="s">
        <v>693</v>
      </c>
      <c r="F72" s="29" t="s">
        <v>663</v>
      </c>
      <c r="G72" s="68"/>
      <c r="H72" s="29" t="s">
        <v>755</v>
      </c>
      <c r="I72" s="29" t="s">
        <v>673</v>
      </c>
      <c r="J72" s="29" t="s">
        <v>655</v>
      </c>
      <c r="K72" s="68"/>
      <c r="L72" s="68"/>
    </row>
    <row r="73" spans="2:12" ht="16" x14ac:dyDescent="0.4">
      <c r="B73" s="2" t="s">
        <v>54</v>
      </c>
      <c r="C73" s="29">
        <v>16</v>
      </c>
      <c r="D73" s="29" t="s">
        <v>667</v>
      </c>
      <c r="E73" s="29" t="s">
        <v>693</v>
      </c>
      <c r="F73" s="29" t="s">
        <v>669</v>
      </c>
      <c r="G73" s="68"/>
      <c r="H73" s="29" t="s">
        <v>754</v>
      </c>
      <c r="I73" s="29" t="s">
        <v>673</v>
      </c>
      <c r="J73" s="29" t="s">
        <v>673</v>
      </c>
      <c r="K73" s="68"/>
      <c r="L73" s="68"/>
    </row>
    <row r="74" spans="2:12" ht="16" x14ac:dyDescent="0.4">
      <c r="B74" s="2" t="s">
        <v>56</v>
      </c>
      <c r="C74" s="29">
        <v>200</v>
      </c>
      <c r="D74" s="29" t="s">
        <v>667</v>
      </c>
      <c r="E74" s="29" t="s">
        <v>693</v>
      </c>
      <c r="F74" s="29" t="s">
        <v>669</v>
      </c>
      <c r="G74" s="68"/>
      <c r="H74" s="29" t="s">
        <v>755</v>
      </c>
      <c r="I74" s="29" t="s">
        <v>673</v>
      </c>
      <c r="J74" s="29" t="s">
        <v>673</v>
      </c>
      <c r="K74" s="68"/>
      <c r="L74" s="68"/>
    </row>
    <row r="75" spans="2:12" ht="16" x14ac:dyDescent="0.4">
      <c r="B75" s="2" t="s">
        <v>57</v>
      </c>
      <c r="C75" s="29">
        <v>5</v>
      </c>
      <c r="D75" s="29" t="s">
        <v>693</v>
      </c>
      <c r="E75" s="29" t="s">
        <v>693</v>
      </c>
      <c r="F75" s="29" t="s">
        <v>669</v>
      </c>
      <c r="G75" s="68"/>
      <c r="H75" s="29" t="s">
        <v>754</v>
      </c>
      <c r="I75" s="29" t="s">
        <v>673</v>
      </c>
      <c r="J75" s="29" t="s">
        <v>673</v>
      </c>
      <c r="K75" s="68"/>
      <c r="L75" s="68"/>
    </row>
    <row r="76" spans="2:12" ht="16" x14ac:dyDescent="0.4">
      <c r="B76" s="2" t="s">
        <v>58</v>
      </c>
      <c r="C76" s="29">
        <v>87</v>
      </c>
      <c r="D76" s="29" t="s">
        <v>667</v>
      </c>
      <c r="E76" s="29" t="s">
        <v>673</v>
      </c>
      <c r="F76" s="29" t="s">
        <v>669</v>
      </c>
      <c r="G76" s="68"/>
      <c r="H76" s="29" t="s">
        <v>755</v>
      </c>
      <c r="I76" s="29" t="s">
        <v>673</v>
      </c>
      <c r="J76" s="29" t="s">
        <v>655</v>
      </c>
      <c r="K76" s="68"/>
      <c r="L76" s="68"/>
    </row>
    <row r="77" spans="2:12" ht="16" x14ac:dyDescent="0.4">
      <c r="B77" s="2" t="s">
        <v>59</v>
      </c>
      <c r="C77" s="29">
        <v>68</v>
      </c>
      <c r="D77" s="29" t="s">
        <v>702</v>
      </c>
      <c r="E77" s="29" t="s">
        <v>655</v>
      </c>
      <c r="F77" s="29" t="s">
        <v>669</v>
      </c>
      <c r="G77" s="68"/>
      <c r="H77" s="29" t="s">
        <v>754</v>
      </c>
      <c r="I77" s="29" t="s">
        <v>673</v>
      </c>
      <c r="J77" s="29" t="s">
        <v>655</v>
      </c>
      <c r="K77" s="68"/>
      <c r="L77" s="68"/>
    </row>
    <row r="78" spans="2:12" ht="16" x14ac:dyDescent="0.4">
      <c r="B78" s="2" t="s">
        <v>60</v>
      </c>
      <c r="C78" s="29">
        <v>37</v>
      </c>
      <c r="D78" s="29" t="s">
        <v>703</v>
      </c>
      <c r="E78" s="29" t="s">
        <v>655</v>
      </c>
      <c r="F78" s="29" t="s">
        <v>669</v>
      </c>
      <c r="G78" s="68"/>
      <c r="H78" s="29" t="s">
        <v>754</v>
      </c>
      <c r="I78" s="29" t="s">
        <v>673</v>
      </c>
      <c r="J78" s="29" t="s">
        <v>655</v>
      </c>
      <c r="K78" s="68"/>
      <c r="L78" s="68"/>
    </row>
    <row r="79" spans="2:12" ht="16" x14ac:dyDescent="0.4">
      <c r="B79" s="2" t="s">
        <v>61</v>
      </c>
      <c r="C79" s="29">
        <v>76</v>
      </c>
      <c r="D79" s="29" t="s">
        <v>693</v>
      </c>
      <c r="E79" s="29" t="s">
        <v>655</v>
      </c>
      <c r="F79" s="29" t="s">
        <v>663</v>
      </c>
      <c r="G79" s="68"/>
      <c r="H79" s="29" t="s">
        <v>756</v>
      </c>
      <c r="I79" s="29" t="s">
        <v>673</v>
      </c>
      <c r="J79" s="29" t="s">
        <v>655</v>
      </c>
      <c r="K79" s="68"/>
      <c r="L79" s="68"/>
    </row>
    <row r="80" spans="2:12" ht="16" x14ac:dyDescent="0.4">
      <c r="B80" s="2" t="s">
        <v>62</v>
      </c>
      <c r="C80" s="29">
        <v>19</v>
      </c>
      <c r="D80" s="29" t="s">
        <v>693</v>
      </c>
      <c r="E80" s="29" t="s">
        <v>693</v>
      </c>
      <c r="F80" s="29" t="s">
        <v>663</v>
      </c>
      <c r="G80" s="68"/>
      <c r="H80" s="29" t="s">
        <v>756</v>
      </c>
      <c r="I80" s="29" t="s">
        <v>673</v>
      </c>
      <c r="J80" s="29" t="s">
        <v>655</v>
      </c>
      <c r="K80" s="68"/>
      <c r="L80" s="68"/>
    </row>
    <row r="81" spans="2:12" ht="16" x14ac:dyDescent="0.4">
      <c r="B81" s="2" t="s">
        <v>439</v>
      </c>
      <c r="C81" s="29">
        <v>14</v>
      </c>
      <c r="D81" s="29" t="s">
        <v>693</v>
      </c>
      <c r="E81" s="29" t="s">
        <v>655</v>
      </c>
      <c r="F81" s="29" t="s">
        <v>669</v>
      </c>
      <c r="G81" s="68"/>
      <c r="H81" s="29" t="s">
        <v>756</v>
      </c>
      <c r="I81" s="29" t="s">
        <v>673</v>
      </c>
      <c r="J81" s="29" t="s">
        <v>673</v>
      </c>
      <c r="K81" s="68"/>
      <c r="L81" s="68"/>
    </row>
    <row r="82" spans="2:12" ht="16" x14ac:dyDescent="0.4">
      <c r="B82" s="2" t="s">
        <v>63</v>
      </c>
      <c r="C82" s="29">
        <v>1</v>
      </c>
      <c r="D82" s="29" t="s">
        <v>704</v>
      </c>
      <c r="E82" s="29" t="s">
        <v>673</v>
      </c>
      <c r="F82" s="29" t="s">
        <v>669</v>
      </c>
      <c r="G82" s="68"/>
      <c r="H82" s="29" t="s">
        <v>756</v>
      </c>
      <c r="I82" s="29" t="s">
        <v>673</v>
      </c>
      <c r="J82" s="29" t="s">
        <v>655</v>
      </c>
      <c r="K82" s="68"/>
      <c r="L82" s="68"/>
    </row>
    <row r="83" spans="2:12" ht="16" x14ac:dyDescent="0.4">
      <c r="B83" s="2" t="s">
        <v>448</v>
      </c>
      <c r="C83" s="29">
        <v>36</v>
      </c>
      <c r="D83" s="29" t="s">
        <v>702</v>
      </c>
      <c r="E83" s="29" t="s">
        <v>693</v>
      </c>
      <c r="F83" s="29" t="s">
        <v>669</v>
      </c>
      <c r="G83" s="68"/>
      <c r="H83" s="29" t="s">
        <v>754</v>
      </c>
      <c r="I83" s="29" t="s">
        <v>673</v>
      </c>
      <c r="J83" s="29" t="s">
        <v>655</v>
      </c>
      <c r="K83" s="68"/>
      <c r="L83" s="68"/>
    </row>
    <row r="84" spans="2:12" ht="16" x14ac:dyDescent="0.4">
      <c r="B84" s="2" t="s">
        <v>454</v>
      </c>
      <c r="C84" s="29">
        <v>40</v>
      </c>
      <c r="D84" s="29" t="s">
        <v>702</v>
      </c>
      <c r="E84" s="29" t="s">
        <v>673</v>
      </c>
      <c r="F84" s="29" t="s">
        <v>669</v>
      </c>
      <c r="G84" s="68"/>
      <c r="H84" s="29" t="s">
        <v>756</v>
      </c>
      <c r="I84" s="29" t="s">
        <v>673</v>
      </c>
      <c r="J84" s="29" t="s">
        <v>673</v>
      </c>
      <c r="K84" s="68"/>
      <c r="L84" s="68"/>
    </row>
    <row r="85" spans="2:12" ht="16" x14ac:dyDescent="0.4">
      <c r="B85" s="2" t="s">
        <v>459</v>
      </c>
      <c r="C85" s="29">
        <v>72</v>
      </c>
      <c r="D85" s="29" t="s">
        <v>702</v>
      </c>
      <c r="E85" s="29" t="s">
        <v>693</v>
      </c>
      <c r="F85" s="29" t="s">
        <v>663</v>
      </c>
      <c r="G85" s="68"/>
      <c r="H85" s="29" t="s">
        <v>756</v>
      </c>
      <c r="I85" s="29" t="s">
        <v>673</v>
      </c>
      <c r="J85" s="29" t="s">
        <v>655</v>
      </c>
      <c r="K85" s="68"/>
      <c r="L85" s="68"/>
    </row>
    <row r="86" spans="2:12" ht="16" x14ac:dyDescent="0.4">
      <c r="B86" s="2" t="s">
        <v>64</v>
      </c>
      <c r="C86" s="29">
        <v>14</v>
      </c>
      <c r="D86" s="29" t="s">
        <v>693</v>
      </c>
      <c r="E86" s="29" t="s">
        <v>693</v>
      </c>
      <c r="F86" s="29" t="s">
        <v>663</v>
      </c>
      <c r="G86" s="68"/>
      <c r="H86" s="29" t="s">
        <v>755</v>
      </c>
      <c r="I86" s="29" t="s">
        <v>673</v>
      </c>
      <c r="J86" s="29" t="s">
        <v>655</v>
      </c>
      <c r="K86" s="68"/>
      <c r="L86" s="68"/>
    </row>
    <row r="87" spans="2:12" ht="16" x14ac:dyDescent="0.4">
      <c r="B87" s="2" t="s">
        <v>65</v>
      </c>
      <c r="C87" s="29">
        <v>73</v>
      </c>
      <c r="D87" s="29" t="s">
        <v>702</v>
      </c>
      <c r="E87" s="29" t="s">
        <v>693</v>
      </c>
      <c r="F87" s="29" t="s">
        <v>669</v>
      </c>
      <c r="G87" s="68"/>
      <c r="H87" s="29" t="s">
        <v>756</v>
      </c>
      <c r="I87" s="29" t="s">
        <v>673</v>
      </c>
      <c r="J87" s="29" t="s">
        <v>673</v>
      </c>
      <c r="K87" s="68"/>
      <c r="L87" s="68"/>
    </row>
    <row r="88" spans="2:12" ht="16" x14ac:dyDescent="0.4">
      <c r="B88" s="2" t="s">
        <v>66</v>
      </c>
      <c r="C88" s="29">
        <v>23</v>
      </c>
      <c r="D88" s="29" t="s">
        <v>702</v>
      </c>
      <c r="E88" s="29" t="s">
        <v>673</v>
      </c>
      <c r="F88" s="29" t="s">
        <v>663</v>
      </c>
      <c r="G88" s="68"/>
      <c r="H88" s="29" t="s">
        <v>754</v>
      </c>
      <c r="I88" s="29" t="s">
        <v>673</v>
      </c>
      <c r="J88" s="29" t="s">
        <v>673</v>
      </c>
      <c r="K88" s="68"/>
      <c r="L88" s="68"/>
    </row>
    <row r="89" spans="2:12" ht="16" x14ac:dyDescent="0.4">
      <c r="B89" s="2" t="s">
        <v>476</v>
      </c>
      <c r="C89" s="29">
        <v>98</v>
      </c>
      <c r="D89" s="29" t="s">
        <v>693</v>
      </c>
      <c r="E89" s="29" t="s">
        <v>673</v>
      </c>
      <c r="F89" s="29" t="s">
        <v>669</v>
      </c>
      <c r="G89" s="68"/>
      <c r="H89" s="29" t="s">
        <v>756</v>
      </c>
      <c r="I89" s="29" t="s">
        <v>673</v>
      </c>
      <c r="J89" s="29" t="s">
        <v>673</v>
      </c>
      <c r="K89" s="68"/>
      <c r="L89" s="68"/>
    </row>
    <row r="90" spans="2:12" ht="16" x14ac:dyDescent="0.4">
      <c r="B90" s="2" t="s">
        <v>67</v>
      </c>
      <c r="C90" s="29">
        <v>49</v>
      </c>
      <c r="D90" s="29" t="s">
        <v>703</v>
      </c>
      <c r="E90" s="29" t="s">
        <v>655</v>
      </c>
      <c r="F90" s="29" t="s">
        <v>663</v>
      </c>
      <c r="G90" s="68"/>
      <c r="H90" s="29" t="s">
        <v>754</v>
      </c>
      <c r="I90" s="29" t="s">
        <v>673</v>
      </c>
      <c r="J90" s="29" t="s">
        <v>655</v>
      </c>
      <c r="K90" s="68"/>
      <c r="L90" s="68"/>
    </row>
    <row r="91" spans="2:12" ht="16" x14ac:dyDescent="0.4">
      <c r="B91" s="2" t="s">
        <v>68</v>
      </c>
      <c r="C91" s="29">
        <v>28</v>
      </c>
      <c r="D91" s="29" t="s">
        <v>703</v>
      </c>
      <c r="E91" s="29" t="s">
        <v>693</v>
      </c>
      <c r="F91" s="29" t="s">
        <v>669</v>
      </c>
      <c r="G91" s="68"/>
      <c r="H91" s="29" t="s">
        <v>755</v>
      </c>
      <c r="I91" s="29" t="s">
        <v>673</v>
      </c>
      <c r="J91" s="29" t="s">
        <v>673</v>
      </c>
      <c r="K91" s="68"/>
      <c r="L91" s="68"/>
    </row>
    <row r="92" spans="2:12" ht="16" x14ac:dyDescent="0.4">
      <c r="B92" s="2" t="s">
        <v>490</v>
      </c>
      <c r="C92" s="29">
        <v>22</v>
      </c>
      <c r="D92" s="29" t="s">
        <v>702</v>
      </c>
      <c r="E92" s="29" t="s">
        <v>693</v>
      </c>
      <c r="F92" s="29" t="s">
        <v>669</v>
      </c>
      <c r="G92" s="68"/>
      <c r="H92" s="29" t="s">
        <v>755</v>
      </c>
      <c r="I92" s="29" t="s">
        <v>673</v>
      </c>
      <c r="J92" s="29" t="s">
        <v>673</v>
      </c>
      <c r="K92" s="68"/>
      <c r="L92" s="68"/>
    </row>
    <row r="93" spans="2:12" ht="16" x14ac:dyDescent="0.4">
      <c r="B93" s="2" t="s">
        <v>495</v>
      </c>
      <c r="C93" s="29">
        <v>49</v>
      </c>
      <c r="D93" s="29" t="s">
        <v>693</v>
      </c>
      <c r="E93" s="29" t="s">
        <v>673</v>
      </c>
      <c r="F93" s="29" t="s">
        <v>669</v>
      </c>
      <c r="G93" s="68"/>
      <c r="H93" s="29" t="s">
        <v>754</v>
      </c>
      <c r="I93" s="29" t="s">
        <v>673</v>
      </c>
      <c r="J93" s="29" t="s">
        <v>673</v>
      </c>
      <c r="K93" s="68"/>
      <c r="L93" s="68"/>
    </row>
    <row r="94" spans="2:12" ht="16" x14ac:dyDescent="0.4">
      <c r="B94" s="2" t="s">
        <v>500</v>
      </c>
      <c r="C94" s="29">
        <v>52</v>
      </c>
      <c r="D94" s="29" t="s">
        <v>704</v>
      </c>
      <c r="E94" s="29" t="s">
        <v>693</v>
      </c>
      <c r="F94" s="29" t="s">
        <v>663</v>
      </c>
      <c r="G94" s="68"/>
      <c r="H94" s="29" t="s">
        <v>756</v>
      </c>
      <c r="I94" s="29" t="s">
        <v>673</v>
      </c>
      <c r="J94" s="29" t="s">
        <v>673</v>
      </c>
      <c r="K94" s="68"/>
      <c r="L94" s="68"/>
    </row>
    <row r="95" spans="2:12" ht="16" x14ac:dyDescent="0.4">
      <c r="B95" s="2" t="s">
        <v>70</v>
      </c>
      <c r="C95" s="29">
        <v>38</v>
      </c>
      <c r="D95" s="29" t="s">
        <v>702</v>
      </c>
      <c r="E95" s="29" t="s">
        <v>693</v>
      </c>
      <c r="F95" s="29" t="s">
        <v>669</v>
      </c>
      <c r="G95" s="68"/>
      <c r="H95" s="29" t="s">
        <v>755</v>
      </c>
      <c r="I95" s="29" t="s">
        <v>673</v>
      </c>
      <c r="J95" s="29" t="s">
        <v>673</v>
      </c>
      <c r="K95" s="68"/>
      <c r="L95" s="68"/>
    </row>
    <row r="96" spans="2:12" ht="16" x14ac:dyDescent="0.4">
      <c r="B96" s="2" t="s">
        <v>71</v>
      </c>
      <c r="C96" s="29">
        <v>58</v>
      </c>
      <c r="D96" s="29" t="s">
        <v>702</v>
      </c>
      <c r="E96" s="29" t="s">
        <v>693</v>
      </c>
      <c r="F96" s="29" t="s">
        <v>669</v>
      </c>
      <c r="G96" s="68"/>
      <c r="H96" s="29" t="s">
        <v>755</v>
      </c>
      <c r="I96" s="29" t="s">
        <v>673</v>
      </c>
      <c r="J96" s="29" t="s">
        <v>655</v>
      </c>
      <c r="K96" s="68"/>
      <c r="L96" s="68"/>
    </row>
    <row r="97" spans="2:12" ht="16" x14ac:dyDescent="0.4">
      <c r="B97" s="2" t="s">
        <v>72</v>
      </c>
      <c r="C97" s="29">
        <v>61</v>
      </c>
      <c r="D97" s="29" t="s">
        <v>667</v>
      </c>
      <c r="E97" s="29" t="s">
        <v>673</v>
      </c>
      <c r="F97" s="29" t="s">
        <v>669</v>
      </c>
      <c r="G97" s="68"/>
      <c r="H97" s="29" t="s">
        <v>756</v>
      </c>
      <c r="I97" s="29" t="s">
        <v>673</v>
      </c>
      <c r="J97" s="29" t="s">
        <v>655</v>
      </c>
      <c r="K97" s="68"/>
      <c r="L97" s="68"/>
    </row>
    <row r="98" spans="2:12" ht="16" x14ac:dyDescent="0.4">
      <c r="B98" s="2" t="s">
        <v>73</v>
      </c>
      <c r="C98" s="29">
        <v>69</v>
      </c>
      <c r="D98" s="29" t="s">
        <v>693</v>
      </c>
      <c r="E98" s="29" t="s">
        <v>673</v>
      </c>
      <c r="F98" s="29" t="s">
        <v>728</v>
      </c>
      <c r="G98" s="68"/>
      <c r="H98" s="29" t="s">
        <v>754</v>
      </c>
      <c r="I98" s="29" t="s">
        <v>673</v>
      </c>
      <c r="J98" s="29" t="s">
        <v>655</v>
      </c>
      <c r="K98" s="68"/>
      <c r="L98" s="68"/>
    </row>
    <row r="99" spans="2:12" ht="16" x14ac:dyDescent="0.4">
      <c r="B99" s="2" t="s">
        <v>522</v>
      </c>
      <c r="C99" s="29">
        <v>128</v>
      </c>
      <c r="D99" s="29" t="s">
        <v>702</v>
      </c>
      <c r="E99" s="29" t="s">
        <v>693</v>
      </c>
      <c r="F99" s="29" t="s">
        <v>669</v>
      </c>
      <c r="G99" s="68"/>
      <c r="H99" s="29" t="s">
        <v>755</v>
      </c>
      <c r="I99" s="29" t="s">
        <v>673</v>
      </c>
      <c r="J99" s="29" t="s">
        <v>673</v>
      </c>
      <c r="K99" s="68"/>
      <c r="L99" s="68"/>
    </row>
    <row r="100" spans="2:12" ht="16" x14ac:dyDescent="0.4">
      <c r="B100" s="2" t="s">
        <v>528</v>
      </c>
      <c r="C100" s="29">
        <v>47</v>
      </c>
      <c r="D100" s="29" t="s">
        <v>693</v>
      </c>
      <c r="E100" s="29" t="s">
        <v>673</v>
      </c>
      <c r="F100" s="29" t="s">
        <v>669</v>
      </c>
      <c r="G100" s="68"/>
      <c r="H100" s="29" t="s">
        <v>756</v>
      </c>
      <c r="I100" s="29" t="s">
        <v>673</v>
      </c>
      <c r="J100" s="29" t="s">
        <v>673</v>
      </c>
      <c r="K100" s="68"/>
      <c r="L100" s="68"/>
    </row>
    <row r="101" spans="2:12" ht="16" x14ac:dyDescent="0.4">
      <c r="B101" s="2" t="s">
        <v>74</v>
      </c>
      <c r="C101" s="29">
        <v>49</v>
      </c>
      <c r="D101" s="29" t="s">
        <v>702</v>
      </c>
      <c r="E101" s="29" t="s">
        <v>673</v>
      </c>
      <c r="F101" s="29" t="s">
        <v>669</v>
      </c>
      <c r="G101" s="68"/>
      <c r="H101" s="29" t="s">
        <v>755</v>
      </c>
      <c r="I101" s="29" t="s">
        <v>673</v>
      </c>
      <c r="J101" s="29" t="s">
        <v>655</v>
      </c>
      <c r="K101" s="68"/>
      <c r="L101" s="68"/>
    </row>
    <row r="102" spans="2:12" ht="16" x14ac:dyDescent="0.4">
      <c r="B102" s="2" t="s">
        <v>75</v>
      </c>
      <c r="C102" s="29">
        <v>13</v>
      </c>
      <c r="D102" s="29" t="s">
        <v>702</v>
      </c>
      <c r="E102" s="29" t="s">
        <v>673</v>
      </c>
      <c r="F102" s="29" t="s">
        <v>669</v>
      </c>
      <c r="G102" s="68"/>
      <c r="H102" s="29" t="s">
        <v>756</v>
      </c>
      <c r="I102" s="29" t="s">
        <v>673</v>
      </c>
      <c r="J102" s="29" t="s">
        <v>655</v>
      </c>
      <c r="K102" s="68"/>
      <c r="L102" s="68"/>
    </row>
    <row r="103" spans="2:12" ht="16" x14ac:dyDescent="0.4">
      <c r="B103" s="2" t="s">
        <v>76</v>
      </c>
      <c r="C103" s="29">
        <v>55</v>
      </c>
      <c r="D103" s="29" t="s">
        <v>693</v>
      </c>
      <c r="E103" s="29" t="s">
        <v>693</v>
      </c>
      <c r="F103" s="29" t="s">
        <v>669</v>
      </c>
      <c r="G103" s="68"/>
      <c r="H103" s="29" t="s">
        <v>754</v>
      </c>
      <c r="I103" s="29" t="s">
        <v>673</v>
      </c>
      <c r="J103" s="29" t="s">
        <v>673</v>
      </c>
      <c r="K103" s="68"/>
      <c r="L103" s="68"/>
    </row>
    <row r="104" spans="2:12" ht="16" x14ac:dyDescent="0.4">
      <c r="B104" s="2" t="s">
        <v>77</v>
      </c>
      <c r="C104" s="29">
        <v>41</v>
      </c>
      <c r="D104" s="29" t="s">
        <v>703</v>
      </c>
      <c r="E104" s="29" t="s">
        <v>693</v>
      </c>
      <c r="F104" s="29" t="s">
        <v>669</v>
      </c>
      <c r="G104" s="68"/>
      <c r="H104" s="29" t="s">
        <v>754</v>
      </c>
      <c r="I104" s="29" t="s">
        <v>673</v>
      </c>
      <c r="J104" s="29" t="s">
        <v>655</v>
      </c>
      <c r="K104" s="68"/>
      <c r="L104" s="68"/>
    </row>
    <row r="106" spans="2:12" ht="18.5" x14ac:dyDescent="0.45">
      <c r="B106" s="66" t="s">
        <v>766</v>
      </c>
      <c r="C106" s="66"/>
      <c r="D106" s="66"/>
      <c r="E106" s="66"/>
      <c r="F106" s="66"/>
      <c r="G106" s="66"/>
      <c r="H106" s="66"/>
      <c r="I106" s="66"/>
      <c r="J106" s="66"/>
      <c r="K106" s="66"/>
      <c r="L106" s="66"/>
    </row>
    <row r="107" spans="2:12" ht="16" x14ac:dyDescent="0.4">
      <c r="B107" s="23" t="s">
        <v>679</v>
      </c>
      <c r="C107" s="23" t="s">
        <v>653</v>
      </c>
      <c r="D107" s="23"/>
      <c r="E107" s="23"/>
      <c r="F107" s="23"/>
      <c r="G107" s="23"/>
      <c r="H107" s="23" t="s">
        <v>654</v>
      </c>
      <c r="I107" s="23"/>
      <c r="J107" s="23"/>
      <c r="K107" s="23"/>
      <c r="L107" s="23"/>
    </row>
    <row r="108" spans="2:12" ht="16" x14ac:dyDescent="0.4">
      <c r="B108" s="20" t="s">
        <v>4</v>
      </c>
      <c r="C108" s="2" t="s">
        <v>731</v>
      </c>
      <c r="D108" s="2" t="s">
        <v>664</v>
      </c>
      <c r="E108" s="2" t="s">
        <v>665</v>
      </c>
      <c r="F108" s="2" t="s">
        <v>666</v>
      </c>
      <c r="G108" s="16" t="s">
        <v>688</v>
      </c>
      <c r="H108" s="22" t="s">
        <v>747</v>
      </c>
      <c r="I108" s="22" t="s">
        <v>674</v>
      </c>
      <c r="J108" s="22" t="s">
        <v>748</v>
      </c>
      <c r="K108" s="16" t="s">
        <v>689</v>
      </c>
      <c r="L108" s="16" t="s">
        <v>687</v>
      </c>
    </row>
    <row r="109" spans="2:12" ht="16" x14ac:dyDescent="0.4">
      <c r="B109" s="2" t="s">
        <v>5</v>
      </c>
      <c r="C109">
        <f t="shared" ref="C109:C114" si="0">C5/100</f>
        <v>0.3</v>
      </c>
      <c r="D109">
        <f t="shared" ref="D109:D172" si="1">IF(D5="",0,IF(D5="A",1,IF(D5="A-",0.8,IF(D5="B",0.6,IF(D5="C",0.4,IF(D5="D",0.2,IF(D5="F",0,IF(D5="N/A",0))))))))</f>
        <v>0</v>
      </c>
      <c r="E109">
        <f t="shared" ref="E109:E172" si="2">IF(E5="",0,IF(E5="N/A",0,IF(E5="No",0,IF(E5="Yes",1))))</f>
        <v>0</v>
      </c>
      <c r="F109">
        <f t="shared" ref="F109:F172" si="3">IF(F5="",0,IF(F5="Reasonable",1,IF(F5="Limited",0.5,IF(F5="None",0))))</f>
        <v>0.5</v>
      </c>
      <c r="G109" s="51">
        <f>(Table39[[#This Row],[Sust. Report Page '# ]]+Table39[[#This Row],[CDP Score]]+Table39[[#This Row],[Climate KPI''s]]+Table39[[#This Row],[Assurance Level]])/4</f>
        <v>0.2</v>
      </c>
      <c r="H109" s="29">
        <f t="shared" ref="H109:H172" si="4">IF(H5="Not Linked",0,IF(H5="Partially Linked",0.5,IF(H5="Linked",1)))</f>
        <v>1</v>
      </c>
      <c r="I109" s="29">
        <f t="shared" ref="I109:I172" si="5">IF(I5="No",0,IF(I5="Yes",1))</f>
        <v>1</v>
      </c>
      <c r="J109" s="29">
        <f t="shared" ref="J109:J172" si="6">IF(J5="",0,IF(J5="No",0,IF(J5="Yes",1)))</f>
        <v>0</v>
      </c>
      <c r="K109" s="51">
        <f>(Table39[[#This Row],[Diversity Linked to Exec Pay]]+Table39[[#This Row],[Board DEI Oversight]]+Table39[[#This Row],[Senior Management Target]])/3</f>
        <v>0.66666666666666663</v>
      </c>
      <c r="L109" s="51">
        <f>(Table39[[#This Row],[G1 Score]]+Table39[[#This Row],[G2 Score]])/2</f>
        <v>0.43333333333333335</v>
      </c>
    </row>
    <row r="110" spans="2:12" ht="16" x14ac:dyDescent="0.4">
      <c r="B110" s="2" t="s">
        <v>6</v>
      </c>
      <c r="C110">
        <f t="shared" si="0"/>
        <v>0.43</v>
      </c>
      <c r="D110">
        <f t="shared" si="1"/>
        <v>0.6</v>
      </c>
      <c r="E110">
        <f t="shared" si="2"/>
        <v>0</v>
      </c>
      <c r="F110">
        <f t="shared" si="3"/>
        <v>0.5</v>
      </c>
      <c r="G110" s="51">
        <f>(Table39[[#This Row],[Sust. Report Page '# ]]+Table39[[#This Row],[CDP Score]]+Table39[[#This Row],[Climate KPI''s]]+Table39[[#This Row],[Assurance Level]])/4</f>
        <v>0.38250000000000001</v>
      </c>
      <c r="H110" s="29">
        <f t="shared" si="4"/>
        <v>0.5</v>
      </c>
      <c r="I110" s="29">
        <f t="shared" si="5"/>
        <v>1</v>
      </c>
      <c r="J110" s="29">
        <f t="shared" si="6"/>
        <v>1</v>
      </c>
      <c r="K110" s="51">
        <f>(Table39[[#This Row],[Diversity Linked to Exec Pay]]+Table39[[#This Row],[Board DEI Oversight]]+Table39[[#This Row],[Senior Management Target]])/3</f>
        <v>0.83333333333333337</v>
      </c>
      <c r="L110" s="51">
        <f>(Table39[[#This Row],[G1 Score]]+Table39[[#This Row],[G2 Score]])/2</f>
        <v>0.60791666666666666</v>
      </c>
    </row>
    <row r="111" spans="2:12" ht="16" x14ac:dyDescent="0.4">
      <c r="B111" s="2" t="s">
        <v>94</v>
      </c>
      <c r="C111">
        <f t="shared" si="0"/>
        <v>0.5</v>
      </c>
      <c r="D111">
        <f t="shared" si="1"/>
        <v>0</v>
      </c>
      <c r="E111">
        <f t="shared" si="2"/>
        <v>0</v>
      </c>
      <c r="F111">
        <f t="shared" si="3"/>
        <v>0</v>
      </c>
      <c r="G111" s="51">
        <f>(Table39[[#This Row],[Sust. Report Page '# ]]+Table39[[#This Row],[CDP Score]]+Table39[[#This Row],[Climate KPI''s]]+Table39[[#This Row],[Assurance Level]])/4</f>
        <v>0.125</v>
      </c>
      <c r="H111" s="29">
        <f t="shared" si="4"/>
        <v>0</v>
      </c>
      <c r="I111" s="29">
        <f t="shared" si="5"/>
        <v>1</v>
      </c>
      <c r="J111" s="29">
        <f t="shared" si="6"/>
        <v>0</v>
      </c>
      <c r="K111" s="51">
        <f>(Table39[[#This Row],[Diversity Linked to Exec Pay]]+Table39[[#This Row],[Board DEI Oversight]]+Table39[[#This Row],[Senior Management Target]])/3</f>
        <v>0.33333333333333331</v>
      </c>
      <c r="L111" s="51">
        <f>(Table39[[#This Row],[G1 Score]]+Table39[[#This Row],[G2 Score]])/2</f>
        <v>0.22916666666666666</v>
      </c>
    </row>
    <row r="112" spans="2:12" ht="16" x14ac:dyDescent="0.4">
      <c r="B112" s="2" t="s">
        <v>7</v>
      </c>
      <c r="C112">
        <f t="shared" si="0"/>
        <v>0.04</v>
      </c>
      <c r="D112">
        <f t="shared" si="1"/>
        <v>0</v>
      </c>
      <c r="E112">
        <f t="shared" si="2"/>
        <v>0</v>
      </c>
      <c r="F112">
        <f t="shared" si="3"/>
        <v>0</v>
      </c>
      <c r="G112" s="51">
        <f>(Table39[[#This Row],[Sust. Report Page '# ]]+Table39[[#This Row],[CDP Score]]+Table39[[#This Row],[Climate KPI''s]]+Table39[[#This Row],[Assurance Level]])/4</f>
        <v>0.01</v>
      </c>
      <c r="H112" s="29">
        <f t="shared" si="4"/>
        <v>0.5</v>
      </c>
      <c r="I112" s="29">
        <f t="shared" si="5"/>
        <v>1</v>
      </c>
      <c r="J112" s="29">
        <f t="shared" si="6"/>
        <v>0</v>
      </c>
      <c r="K112" s="51">
        <f>(Table39[[#This Row],[Diversity Linked to Exec Pay]]+Table39[[#This Row],[Board DEI Oversight]]+Table39[[#This Row],[Senior Management Target]])/3</f>
        <v>0.5</v>
      </c>
      <c r="L112" s="51">
        <f>(Table39[[#This Row],[G1 Score]]+Table39[[#This Row],[G2 Score]])/2</f>
        <v>0.255</v>
      </c>
    </row>
    <row r="113" spans="2:12" ht="16" x14ac:dyDescent="0.4">
      <c r="B113" s="2" t="s">
        <v>8</v>
      </c>
      <c r="C113">
        <f t="shared" si="0"/>
        <v>1.44</v>
      </c>
      <c r="D113">
        <f t="shared" si="1"/>
        <v>0</v>
      </c>
      <c r="E113">
        <f t="shared" si="2"/>
        <v>1</v>
      </c>
      <c r="F113">
        <f t="shared" si="3"/>
        <v>1</v>
      </c>
      <c r="G113" s="51">
        <f>(Table39[[#This Row],[Sust. Report Page '# ]]+Table39[[#This Row],[CDP Score]]+Table39[[#This Row],[Climate KPI''s]]+Table39[[#This Row],[Assurance Level]])/4</f>
        <v>0.86</v>
      </c>
      <c r="H113" s="29">
        <f t="shared" si="4"/>
        <v>0.5</v>
      </c>
      <c r="I113" s="29">
        <f t="shared" si="5"/>
        <v>1</v>
      </c>
      <c r="J113" s="29">
        <f t="shared" si="6"/>
        <v>0</v>
      </c>
      <c r="K113" s="51">
        <f>(Table39[[#This Row],[Diversity Linked to Exec Pay]]+Table39[[#This Row],[Board DEI Oversight]]+Table39[[#This Row],[Senior Management Target]])/3</f>
        <v>0.5</v>
      </c>
      <c r="L113" s="51">
        <f>(Table39[[#This Row],[G1 Score]]+Table39[[#This Row],[G2 Score]])/2</f>
        <v>0.67999999999999994</v>
      </c>
    </row>
    <row r="114" spans="2:12" ht="16" x14ac:dyDescent="0.4">
      <c r="B114" s="2" t="s">
        <v>9</v>
      </c>
      <c r="C114">
        <f t="shared" si="0"/>
        <v>0.99</v>
      </c>
      <c r="D114">
        <f t="shared" si="1"/>
        <v>0.6</v>
      </c>
      <c r="E114">
        <f t="shared" si="2"/>
        <v>0</v>
      </c>
      <c r="F114">
        <f t="shared" si="3"/>
        <v>0.5</v>
      </c>
      <c r="G114" s="51">
        <f>(Table39[[#This Row],[Sust. Report Page '# ]]+Table39[[#This Row],[CDP Score]]+Table39[[#This Row],[Climate KPI''s]]+Table39[[#This Row],[Assurance Level]])/4</f>
        <v>0.52249999999999996</v>
      </c>
      <c r="H114" s="29">
        <f t="shared" si="4"/>
        <v>0</v>
      </c>
      <c r="I114" s="29">
        <f t="shared" si="5"/>
        <v>1</v>
      </c>
      <c r="J114" s="29">
        <f t="shared" si="6"/>
        <v>0</v>
      </c>
      <c r="K114" s="51">
        <f>(Table39[[#This Row],[Diversity Linked to Exec Pay]]+Table39[[#This Row],[Board DEI Oversight]]+Table39[[#This Row],[Senior Management Target]])/3</f>
        <v>0.33333333333333331</v>
      </c>
      <c r="L114" s="51">
        <f>(Table39[[#This Row],[G1 Score]]+Table39[[#This Row],[G2 Score]])/2</f>
        <v>0.42791666666666661</v>
      </c>
    </row>
    <row r="115" spans="2:12" ht="16" x14ac:dyDescent="0.4">
      <c r="B115" s="2" t="s">
        <v>10</v>
      </c>
      <c r="C115">
        <v>0</v>
      </c>
      <c r="D115">
        <f t="shared" si="1"/>
        <v>0.6</v>
      </c>
      <c r="E115">
        <f t="shared" si="2"/>
        <v>0</v>
      </c>
      <c r="F115">
        <f t="shared" si="3"/>
        <v>0</v>
      </c>
      <c r="G115" s="51">
        <f>(Table39[[#This Row],[Sust. Report Page '# ]]+Table39[[#This Row],[CDP Score]]+Table39[[#This Row],[Climate KPI''s]]+Table39[[#This Row],[Assurance Level]])/4</f>
        <v>0.15</v>
      </c>
      <c r="H115" s="29">
        <f t="shared" si="4"/>
        <v>0.5</v>
      </c>
      <c r="I115" s="29">
        <f t="shared" si="5"/>
        <v>1</v>
      </c>
      <c r="J115" s="29">
        <f t="shared" si="6"/>
        <v>0</v>
      </c>
      <c r="K115" s="51">
        <f>(Table39[[#This Row],[Diversity Linked to Exec Pay]]+Table39[[#This Row],[Board DEI Oversight]]+Table39[[#This Row],[Senior Management Target]])/3</f>
        <v>0.5</v>
      </c>
      <c r="L115" s="51">
        <f>(Table39[[#This Row],[G1 Score]]+Table39[[#This Row],[G2 Score]])/2</f>
        <v>0.32500000000000001</v>
      </c>
    </row>
    <row r="116" spans="2:12" ht="16" x14ac:dyDescent="0.4">
      <c r="B116" s="2" t="s">
        <v>11</v>
      </c>
      <c r="C116">
        <f t="shared" ref="C116:C122" si="7">C12/100</f>
        <v>0.27</v>
      </c>
      <c r="D116">
        <f t="shared" si="1"/>
        <v>0.6</v>
      </c>
      <c r="E116">
        <f t="shared" si="2"/>
        <v>1</v>
      </c>
      <c r="F116">
        <f t="shared" si="3"/>
        <v>0.5</v>
      </c>
      <c r="G116" s="51">
        <f>(Table39[[#This Row],[Sust. Report Page '# ]]+Table39[[#This Row],[CDP Score]]+Table39[[#This Row],[Climate KPI''s]]+Table39[[#This Row],[Assurance Level]])/4</f>
        <v>0.59250000000000003</v>
      </c>
      <c r="H116" s="29">
        <f t="shared" si="4"/>
        <v>0</v>
      </c>
      <c r="I116" s="29">
        <f t="shared" si="5"/>
        <v>1</v>
      </c>
      <c r="J116" s="29">
        <f t="shared" si="6"/>
        <v>0</v>
      </c>
      <c r="K116" s="51">
        <f>(Table39[[#This Row],[Diversity Linked to Exec Pay]]+Table39[[#This Row],[Board DEI Oversight]]+Table39[[#This Row],[Senior Management Target]])/3</f>
        <v>0.33333333333333331</v>
      </c>
      <c r="L116" s="51">
        <f>(Table39[[#This Row],[G1 Score]]+Table39[[#This Row],[G2 Score]])/2</f>
        <v>0.46291666666666664</v>
      </c>
    </row>
    <row r="117" spans="2:12" ht="16" x14ac:dyDescent="0.4">
      <c r="B117" s="2" t="s">
        <v>12</v>
      </c>
      <c r="C117">
        <f t="shared" si="7"/>
        <v>0.4</v>
      </c>
      <c r="D117">
        <f t="shared" si="1"/>
        <v>0</v>
      </c>
      <c r="E117">
        <f t="shared" si="2"/>
        <v>1</v>
      </c>
      <c r="F117">
        <f t="shared" si="3"/>
        <v>0.5</v>
      </c>
      <c r="G117" s="51">
        <f>(Table39[[#This Row],[Sust. Report Page '# ]]+Table39[[#This Row],[CDP Score]]+Table39[[#This Row],[Climate KPI''s]]+Table39[[#This Row],[Assurance Level]])/4</f>
        <v>0.47499999999999998</v>
      </c>
      <c r="H117" s="29">
        <f t="shared" si="4"/>
        <v>1</v>
      </c>
      <c r="I117" s="29">
        <f t="shared" si="5"/>
        <v>1</v>
      </c>
      <c r="J117" s="29">
        <f t="shared" si="6"/>
        <v>0</v>
      </c>
      <c r="K117" s="51">
        <f>(Table39[[#This Row],[Diversity Linked to Exec Pay]]+Table39[[#This Row],[Board DEI Oversight]]+Table39[[#This Row],[Senior Management Target]])/3</f>
        <v>0.66666666666666663</v>
      </c>
      <c r="L117" s="51">
        <f>(Table39[[#This Row],[G1 Score]]+Table39[[#This Row],[G2 Score]])/2</f>
        <v>0.5708333333333333</v>
      </c>
    </row>
    <row r="118" spans="2:12" ht="16" x14ac:dyDescent="0.4">
      <c r="B118" s="2" t="s">
        <v>13</v>
      </c>
      <c r="C118">
        <f t="shared" si="7"/>
        <v>0.18</v>
      </c>
      <c r="D118">
        <f t="shared" si="1"/>
        <v>0.6</v>
      </c>
      <c r="E118">
        <f t="shared" si="2"/>
        <v>0</v>
      </c>
      <c r="F118">
        <f t="shared" si="3"/>
        <v>0.5</v>
      </c>
      <c r="G118" s="51">
        <f>(Table39[[#This Row],[Sust. Report Page '# ]]+Table39[[#This Row],[CDP Score]]+Table39[[#This Row],[Climate KPI''s]]+Table39[[#This Row],[Assurance Level]])/4</f>
        <v>0.32</v>
      </c>
      <c r="H118" s="29">
        <f t="shared" si="4"/>
        <v>1</v>
      </c>
      <c r="I118" s="29">
        <f t="shared" si="5"/>
        <v>1</v>
      </c>
      <c r="J118" s="29">
        <f t="shared" si="6"/>
        <v>1</v>
      </c>
      <c r="K118" s="51">
        <f>(Table39[[#This Row],[Diversity Linked to Exec Pay]]+Table39[[#This Row],[Board DEI Oversight]]+Table39[[#This Row],[Senior Management Target]])/3</f>
        <v>1</v>
      </c>
      <c r="L118" s="51">
        <f>(Table39[[#This Row],[G1 Score]]+Table39[[#This Row],[G2 Score]])/2</f>
        <v>0.66</v>
      </c>
    </row>
    <row r="119" spans="2:12" ht="16" x14ac:dyDescent="0.4">
      <c r="B119" s="2" t="s">
        <v>14</v>
      </c>
      <c r="C119">
        <f t="shared" si="7"/>
        <v>0.11</v>
      </c>
      <c r="D119">
        <f t="shared" si="1"/>
        <v>0.8</v>
      </c>
      <c r="E119">
        <f t="shared" si="2"/>
        <v>0</v>
      </c>
      <c r="F119">
        <f t="shared" si="3"/>
        <v>0</v>
      </c>
      <c r="G119" s="51">
        <f>(Table39[[#This Row],[Sust. Report Page '# ]]+Table39[[#This Row],[CDP Score]]+Table39[[#This Row],[Climate KPI''s]]+Table39[[#This Row],[Assurance Level]])/4</f>
        <v>0.22750000000000001</v>
      </c>
      <c r="H119" s="29">
        <f t="shared" si="4"/>
        <v>1</v>
      </c>
      <c r="I119" s="29">
        <f t="shared" si="5"/>
        <v>1</v>
      </c>
      <c r="J119" s="29">
        <f t="shared" si="6"/>
        <v>1</v>
      </c>
      <c r="K119" s="51">
        <f>(Table39[[#This Row],[Diversity Linked to Exec Pay]]+Table39[[#This Row],[Board DEI Oversight]]+Table39[[#This Row],[Senior Management Target]])/3</f>
        <v>1</v>
      </c>
      <c r="L119" s="51">
        <f>(Table39[[#This Row],[G1 Score]]+Table39[[#This Row],[G2 Score]])/2</f>
        <v>0.61375000000000002</v>
      </c>
    </row>
    <row r="120" spans="2:12" ht="16" x14ac:dyDescent="0.4">
      <c r="B120" s="2" t="s">
        <v>139</v>
      </c>
      <c r="C120">
        <f t="shared" si="7"/>
        <v>0.32</v>
      </c>
      <c r="D120">
        <f t="shared" si="1"/>
        <v>0</v>
      </c>
      <c r="E120">
        <f t="shared" si="2"/>
        <v>0</v>
      </c>
      <c r="F120">
        <f t="shared" si="3"/>
        <v>0.5</v>
      </c>
      <c r="G120" s="51">
        <f>(Table39[[#This Row],[Sust. Report Page '# ]]+Table39[[#This Row],[CDP Score]]+Table39[[#This Row],[Climate KPI''s]]+Table39[[#This Row],[Assurance Level]])/4</f>
        <v>0.20500000000000002</v>
      </c>
      <c r="H120" s="29">
        <f t="shared" si="4"/>
        <v>0.5</v>
      </c>
      <c r="I120" s="29">
        <f t="shared" si="5"/>
        <v>1</v>
      </c>
      <c r="J120" s="29">
        <f t="shared" si="6"/>
        <v>0</v>
      </c>
      <c r="K120" s="51">
        <f>(Table39[[#This Row],[Diversity Linked to Exec Pay]]+Table39[[#This Row],[Board DEI Oversight]]+Table39[[#This Row],[Senior Management Target]])/3</f>
        <v>0.5</v>
      </c>
      <c r="L120" s="51">
        <f>(Table39[[#This Row],[G1 Score]]+Table39[[#This Row],[G2 Score]])/2</f>
        <v>0.35250000000000004</v>
      </c>
    </row>
    <row r="121" spans="2:12" ht="16" x14ac:dyDescent="0.4">
      <c r="B121" s="2" t="s">
        <v>15</v>
      </c>
      <c r="C121">
        <f t="shared" si="7"/>
        <v>0.06</v>
      </c>
      <c r="D121">
        <f t="shared" si="1"/>
        <v>0</v>
      </c>
      <c r="E121">
        <f t="shared" si="2"/>
        <v>1</v>
      </c>
      <c r="F121">
        <f t="shared" si="3"/>
        <v>0.5</v>
      </c>
      <c r="G121" s="51">
        <f>(Table39[[#This Row],[Sust. Report Page '# ]]+Table39[[#This Row],[CDP Score]]+Table39[[#This Row],[Climate KPI''s]]+Table39[[#This Row],[Assurance Level]])/4</f>
        <v>0.39</v>
      </c>
      <c r="H121" s="29">
        <f t="shared" si="4"/>
        <v>1</v>
      </c>
      <c r="I121" s="29">
        <f t="shared" si="5"/>
        <v>1</v>
      </c>
      <c r="J121" s="29">
        <f t="shared" si="6"/>
        <v>0</v>
      </c>
      <c r="K121" s="51">
        <f>(Table39[[#This Row],[Diversity Linked to Exec Pay]]+Table39[[#This Row],[Board DEI Oversight]]+Table39[[#This Row],[Senior Management Target]])/3</f>
        <v>0.66666666666666663</v>
      </c>
      <c r="L121" s="51">
        <f>(Table39[[#This Row],[G1 Score]]+Table39[[#This Row],[G2 Score]])/2</f>
        <v>0.52833333333333332</v>
      </c>
    </row>
    <row r="122" spans="2:12" ht="16" x14ac:dyDescent="0.4">
      <c r="B122" s="2" t="s">
        <v>16</v>
      </c>
      <c r="C122">
        <f t="shared" si="7"/>
        <v>0.41</v>
      </c>
      <c r="D122">
        <f t="shared" si="1"/>
        <v>0.8</v>
      </c>
      <c r="E122">
        <f t="shared" si="2"/>
        <v>1</v>
      </c>
      <c r="F122">
        <f t="shared" si="3"/>
        <v>0.5</v>
      </c>
      <c r="G122" s="51">
        <f>(Table39[[#This Row],[Sust. Report Page '# ]]+Table39[[#This Row],[CDP Score]]+Table39[[#This Row],[Climate KPI''s]]+Table39[[#This Row],[Assurance Level]])/4</f>
        <v>0.67749999999999999</v>
      </c>
      <c r="H122" s="29">
        <f t="shared" si="4"/>
        <v>1</v>
      </c>
      <c r="I122" s="29">
        <f t="shared" si="5"/>
        <v>1</v>
      </c>
      <c r="J122" s="29">
        <f t="shared" si="6"/>
        <v>1</v>
      </c>
      <c r="K122" s="51">
        <f>(Table39[[#This Row],[Diversity Linked to Exec Pay]]+Table39[[#This Row],[Board DEI Oversight]]+Table39[[#This Row],[Senior Management Target]])/3</f>
        <v>1</v>
      </c>
      <c r="L122" s="51">
        <f>(Table39[[#This Row],[G1 Score]]+Table39[[#This Row],[G2 Score]])/2</f>
        <v>0.83875</v>
      </c>
    </row>
    <row r="123" spans="2:12" ht="16" x14ac:dyDescent="0.4">
      <c r="B123" s="2" t="s">
        <v>17</v>
      </c>
      <c r="C123">
        <v>0</v>
      </c>
      <c r="D123">
        <f t="shared" si="1"/>
        <v>1</v>
      </c>
      <c r="E123">
        <f t="shared" si="2"/>
        <v>0</v>
      </c>
      <c r="F123">
        <f t="shared" si="3"/>
        <v>0.5</v>
      </c>
      <c r="G123" s="51">
        <f>(Table39[[#This Row],[Sust. Report Page '# ]]+Table39[[#This Row],[CDP Score]]+Table39[[#This Row],[Climate KPI''s]]+Table39[[#This Row],[Assurance Level]])/4</f>
        <v>0.375</v>
      </c>
      <c r="H123" s="29">
        <f t="shared" si="4"/>
        <v>0</v>
      </c>
      <c r="I123" s="29">
        <f t="shared" si="5"/>
        <v>1</v>
      </c>
      <c r="J123" s="29">
        <f t="shared" si="6"/>
        <v>1</v>
      </c>
      <c r="K123" s="51">
        <f>(Table39[[#This Row],[Diversity Linked to Exec Pay]]+Table39[[#This Row],[Board DEI Oversight]]+Table39[[#This Row],[Senior Management Target]])/3</f>
        <v>0.66666666666666663</v>
      </c>
      <c r="L123" s="51">
        <f>(Table39[[#This Row],[G1 Score]]+Table39[[#This Row],[G2 Score]])/2</f>
        <v>0.52083333333333326</v>
      </c>
    </row>
    <row r="124" spans="2:12" ht="16" x14ac:dyDescent="0.4">
      <c r="B124" s="2" t="s">
        <v>18</v>
      </c>
      <c r="C124">
        <f t="shared" ref="C124:C134" si="8">C20/100</f>
        <v>0.26</v>
      </c>
      <c r="D124">
        <f t="shared" si="1"/>
        <v>0</v>
      </c>
      <c r="E124">
        <f t="shared" si="2"/>
        <v>0</v>
      </c>
      <c r="F124">
        <f t="shared" si="3"/>
        <v>0</v>
      </c>
      <c r="G124" s="51">
        <f>(Table39[[#This Row],[Sust. Report Page '# ]]+Table39[[#This Row],[CDP Score]]+Table39[[#This Row],[Climate KPI''s]]+Table39[[#This Row],[Assurance Level]])/4</f>
        <v>6.5000000000000002E-2</v>
      </c>
      <c r="H124" s="29">
        <f t="shared" si="4"/>
        <v>1</v>
      </c>
      <c r="I124" s="29">
        <f t="shared" si="5"/>
        <v>1</v>
      </c>
      <c r="J124" s="29">
        <f t="shared" si="6"/>
        <v>1</v>
      </c>
      <c r="K124" s="51">
        <f>(Table39[[#This Row],[Diversity Linked to Exec Pay]]+Table39[[#This Row],[Board DEI Oversight]]+Table39[[#This Row],[Senior Management Target]])/3</f>
        <v>1</v>
      </c>
      <c r="L124" s="51">
        <f>(Table39[[#This Row],[G1 Score]]+Table39[[#This Row],[G2 Score]])/2</f>
        <v>0.53249999999999997</v>
      </c>
    </row>
    <row r="125" spans="2:12" ht="16" x14ac:dyDescent="0.4">
      <c r="B125" s="2" t="s">
        <v>163</v>
      </c>
      <c r="C125">
        <f t="shared" si="8"/>
        <v>0.3</v>
      </c>
      <c r="D125">
        <f t="shared" si="1"/>
        <v>0</v>
      </c>
      <c r="E125">
        <f t="shared" si="2"/>
        <v>0</v>
      </c>
      <c r="F125">
        <f t="shared" si="3"/>
        <v>0.5</v>
      </c>
      <c r="G125" s="51">
        <f>(Table39[[#This Row],[Sust. Report Page '# ]]+Table39[[#This Row],[CDP Score]]+Table39[[#This Row],[Climate KPI''s]]+Table39[[#This Row],[Assurance Level]])/4</f>
        <v>0.2</v>
      </c>
      <c r="H125" s="29">
        <f t="shared" si="4"/>
        <v>0</v>
      </c>
      <c r="I125" s="29">
        <f t="shared" si="5"/>
        <v>1</v>
      </c>
      <c r="J125" s="29">
        <f t="shared" si="6"/>
        <v>1</v>
      </c>
      <c r="K125" s="51">
        <f>(Table39[[#This Row],[Diversity Linked to Exec Pay]]+Table39[[#This Row],[Board DEI Oversight]]+Table39[[#This Row],[Senior Management Target]])/3</f>
        <v>0.66666666666666663</v>
      </c>
      <c r="L125" s="51">
        <f>(Table39[[#This Row],[G1 Score]]+Table39[[#This Row],[G2 Score]])/2</f>
        <v>0.43333333333333335</v>
      </c>
    </row>
    <row r="126" spans="2:12" ht="16" x14ac:dyDescent="0.4">
      <c r="B126" s="2" t="s">
        <v>19</v>
      </c>
      <c r="C126">
        <f t="shared" si="8"/>
        <v>0.49</v>
      </c>
      <c r="D126">
        <f t="shared" si="1"/>
        <v>0</v>
      </c>
      <c r="E126">
        <f t="shared" si="2"/>
        <v>1</v>
      </c>
      <c r="F126">
        <f t="shared" si="3"/>
        <v>0</v>
      </c>
      <c r="G126" s="51">
        <f>(Table39[[#This Row],[Sust. Report Page '# ]]+Table39[[#This Row],[CDP Score]]+Table39[[#This Row],[Climate KPI''s]]+Table39[[#This Row],[Assurance Level]])/4</f>
        <v>0.3725</v>
      </c>
      <c r="H126" s="29">
        <f t="shared" si="4"/>
        <v>1</v>
      </c>
      <c r="I126" s="29">
        <f t="shared" si="5"/>
        <v>1</v>
      </c>
      <c r="J126" s="29">
        <f t="shared" si="6"/>
        <v>0</v>
      </c>
      <c r="K126" s="51">
        <f>(Table39[[#This Row],[Diversity Linked to Exec Pay]]+Table39[[#This Row],[Board DEI Oversight]]+Table39[[#This Row],[Senior Management Target]])/3</f>
        <v>0.66666666666666663</v>
      </c>
      <c r="L126" s="51">
        <f>(Table39[[#This Row],[G1 Score]]+Table39[[#This Row],[G2 Score]])/2</f>
        <v>0.51958333333333329</v>
      </c>
    </row>
    <row r="127" spans="2:12" ht="16" x14ac:dyDescent="0.4">
      <c r="B127" s="2" t="s">
        <v>20</v>
      </c>
      <c r="C127">
        <f t="shared" si="8"/>
        <v>1.04</v>
      </c>
      <c r="D127">
        <f t="shared" si="1"/>
        <v>1</v>
      </c>
      <c r="E127">
        <f t="shared" si="2"/>
        <v>0</v>
      </c>
      <c r="F127">
        <f t="shared" si="3"/>
        <v>0</v>
      </c>
      <c r="G127" s="51">
        <f>(Table39[[#This Row],[Sust. Report Page '# ]]+Table39[[#This Row],[CDP Score]]+Table39[[#This Row],[Climate KPI''s]]+Table39[[#This Row],[Assurance Level]])/4</f>
        <v>0.51</v>
      </c>
      <c r="H127" s="29">
        <f t="shared" si="4"/>
        <v>1</v>
      </c>
      <c r="I127" s="29">
        <f t="shared" si="5"/>
        <v>1</v>
      </c>
      <c r="J127" s="29">
        <f t="shared" si="6"/>
        <v>0</v>
      </c>
      <c r="K127" s="51">
        <f>(Table39[[#This Row],[Diversity Linked to Exec Pay]]+Table39[[#This Row],[Board DEI Oversight]]+Table39[[#This Row],[Senior Management Target]])/3</f>
        <v>0.66666666666666663</v>
      </c>
      <c r="L127" s="51">
        <f>(Table39[[#This Row],[G1 Score]]+Table39[[#This Row],[G2 Score]])/2</f>
        <v>0.58833333333333337</v>
      </c>
    </row>
    <row r="128" spans="2:12" ht="16" x14ac:dyDescent="0.4">
      <c r="B128" s="2" t="s">
        <v>21</v>
      </c>
      <c r="C128">
        <f t="shared" si="8"/>
        <v>0.27</v>
      </c>
      <c r="D128">
        <f t="shared" si="1"/>
        <v>0</v>
      </c>
      <c r="E128">
        <f t="shared" si="2"/>
        <v>0</v>
      </c>
      <c r="F128">
        <f t="shared" si="3"/>
        <v>0</v>
      </c>
      <c r="G128" s="51">
        <f>(Table39[[#This Row],[Sust. Report Page '# ]]+Table39[[#This Row],[CDP Score]]+Table39[[#This Row],[Climate KPI''s]]+Table39[[#This Row],[Assurance Level]])/4</f>
        <v>6.7500000000000004E-2</v>
      </c>
      <c r="H128" s="29">
        <f t="shared" si="4"/>
        <v>0.5</v>
      </c>
      <c r="I128" s="29">
        <f t="shared" si="5"/>
        <v>1</v>
      </c>
      <c r="J128" s="29">
        <f t="shared" si="6"/>
        <v>1</v>
      </c>
      <c r="K128" s="51">
        <f>(Table39[[#This Row],[Diversity Linked to Exec Pay]]+Table39[[#This Row],[Board DEI Oversight]]+Table39[[#This Row],[Senior Management Target]])/3</f>
        <v>0.83333333333333337</v>
      </c>
      <c r="L128" s="51">
        <f>(Table39[[#This Row],[G1 Score]]+Table39[[#This Row],[G2 Score]])/2</f>
        <v>0.45041666666666669</v>
      </c>
    </row>
    <row r="129" spans="2:12" ht="16" x14ac:dyDescent="0.4">
      <c r="B129" s="2" t="s">
        <v>22</v>
      </c>
      <c r="C129">
        <f t="shared" si="8"/>
        <v>0.23</v>
      </c>
      <c r="D129">
        <f t="shared" si="1"/>
        <v>1</v>
      </c>
      <c r="E129">
        <f t="shared" si="2"/>
        <v>1</v>
      </c>
      <c r="F129">
        <f t="shared" si="3"/>
        <v>1</v>
      </c>
      <c r="G129" s="51">
        <f>(Table39[[#This Row],[Sust. Report Page '# ]]+Table39[[#This Row],[CDP Score]]+Table39[[#This Row],[Climate KPI''s]]+Table39[[#This Row],[Assurance Level]])/4</f>
        <v>0.8075</v>
      </c>
      <c r="H129" s="29">
        <f t="shared" si="4"/>
        <v>0.5</v>
      </c>
      <c r="I129" s="29">
        <f t="shared" si="5"/>
        <v>1</v>
      </c>
      <c r="J129" s="29">
        <f t="shared" si="6"/>
        <v>1</v>
      </c>
      <c r="K129" s="51">
        <f>(Table39[[#This Row],[Diversity Linked to Exec Pay]]+Table39[[#This Row],[Board DEI Oversight]]+Table39[[#This Row],[Senior Management Target]])/3</f>
        <v>0.83333333333333337</v>
      </c>
      <c r="L129" s="51">
        <f>(Table39[[#This Row],[G1 Score]]+Table39[[#This Row],[G2 Score]])/2</f>
        <v>0.82041666666666668</v>
      </c>
    </row>
    <row r="130" spans="2:12" ht="16" x14ac:dyDescent="0.4">
      <c r="B130" s="2" t="s">
        <v>23</v>
      </c>
      <c r="C130">
        <f t="shared" si="8"/>
        <v>0.26</v>
      </c>
      <c r="D130">
        <f t="shared" si="1"/>
        <v>0</v>
      </c>
      <c r="E130">
        <f t="shared" si="2"/>
        <v>0</v>
      </c>
      <c r="F130">
        <f t="shared" si="3"/>
        <v>0.5</v>
      </c>
      <c r="G130" s="51">
        <f>(Table39[[#This Row],[Sust. Report Page '# ]]+Table39[[#This Row],[CDP Score]]+Table39[[#This Row],[Climate KPI''s]]+Table39[[#This Row],[Assurance Level]])/4</f>
        <v>0.19</v>
      </c>
      <c r="H130" s="29">
        <f t="shared" si="4"/>
        <v>0</v>
      </c>
      <c r="I130" s="29">
        <f t="shared" si="5"/>
        <v>1</v>
      </c>
      <c r="J130" s="29">
        <f t="shared" si="6"/>
        <v>0</v>
      </c>
      <c r="K130" s="51">
        <f>(Table39[[#This Row],[Diversity Linked to Exec Pay]]+Table39[[#This Row],[Board DEI Oversight]]+Table39[[#This Row],[Senior Management Target]])/3</f>
        <v>0.33333333333333331</v>
      </c>
      <c r="L130" s="51">
        <f>(Table39[[#This Row],[G1 Score]]+Table39[[#This Row],[G2 Score]])/2</f>
        <v>0.26166666666666666</v>
      </c>
    </row>
    <row r="131" spans="2:12" ht="16" x14ac:dyDescent="0.4">
      <c r="B131" s="2" t="s">
        <v>190</v>
      </c>
      <c r="C131">
        <f t="shared" si="8"/>
        <v>0.28000000000000003</v>
      </c>
      <c r="D131">
        <f t="shared" si="1"/>
        <v>0.8</v>
      </c>
      <c r="E131">
        <f t="shared" si="2"/>
        <v>0</v>
      </c>
      <c r="F131">
        <f t="shared" si="3"/>
        <v>0</v>
      </c>
      <c r="G131" s="51">
        <f>(Table39[[#This Row],[Sust. Report Page '# ]]+Table39[[#This Row],[CDP Score]]+Table39[[#This Row],[Climate KPI''s]]+Table39[[#This Row],[Assurance Level]])/4</f>
        <v>0.27</v>
      </c>
      <c r="H131" s="29">
        <f t="shared" si="4"/>
        <v>1</v>
      </c>
      <c r="I131" s="29">
        <f t="shared" si="5"/>
        <v>1</v>
      </c>
      <c r="J131" s="29">
        <f t="shared" si="6"/>
        <v>1</v>
      </c>
      <c r="K131" s="51">
        <f>(Table39[[#This Row],[Diversity Linked to Exec Pay]]+Table39[[#This Row],[Board DEI Oversight]]+Table39[[#This Row],[Senior Management Target]])/3</f>
        <v>1</v>
      </c>
      <c r="L131" s="51">
        <f>(Table39[[#This Row],[G1 Score]]+Table39[[#This Row],[G2 Score]])/2</f>
        <v>0.63500000000000001</v>
      </c>
    </row>
    <row r="132" spans="2:12" ht="16" x14ac:dyDescent="0.4">
      <c r="B132" s="2" t="s">
        <v>24</v>
      </c>
      <c r="C132">
        <f t="shared" si="8"/>
        <v>0.46</v>
      </c>
      <c r="D132">
        <f t="shared" si="1"/>
        <v>0.6</v>
      </c>
      <c r="E132">
        <f t="shared" si="2"/>
        <v>1</v>
      </c>
      <c r="F132">
        <f t="shared" si="3"/>
        <v>0.5</v>
      </c>
      <c r="G132" s="51">
        <f>(Table39[[#This Row],[Sust. Report Page '# ]]+Table39[[#This Row],[CDP Score]]+Table39[[#This Row],[Climate KPI''s]]+Table39[[#This Row],[Assurance Level]])/4</f>
        <v>0.64</v>
      </c>
      <c r="H132" s="29">
        <f t="shared" si="4"/>
        <v>0.5</v>
      </c>
      <c r="I132" s="29">
        <f t="shared" si="5"/>
        <v>1</v>
      </c>
      <c r="J132" s="29">
        <f t="shared" si="6"/>
        <v>1</v>
      </c>
      <c r="K132" s="51">
        <f>(Table39[[#This Row],[Diversity Linked to Exec Pay]]+Table39[[#This Row],[Board DEI Oversight]]+Table39[[#This Row],[Senior Management Target]])/3</f>
        <v>0.83333333333333337</v>
      </c>
      <c r="L132" s="51">
        <f>(Table39[[#This Row],[G1 Score]]+Table39[[#This Row],[G2 Score]])/2</f>
        <v>0.73666666666666669</v>
      </c>
    </row>
    <row r="133" spans="2:12" ht="16" x14ac:dyDescent="0.4">
      <c r="B133" s="2" t="s">
        <v>201</v>
      </c>
      <c r="C133">
        <f t="shared" si="8"/>
        <v>0.14000000000000001</v>
      </c>
      <c r="D133">
        <f t="shared" si="1"/>
        <v>1</v>
      </c>
      <c r="E133">
        <f t="shared" si="2"/>
        <v>1</v>
      </c>
      <c r="F133">
        <f t="shared" si="3"/>
        <v>0.5</v>
      </c>
      <c r="G133" s="51">
        <f>(Table39[[#This Row],[Sust. Report Page '# ]]+Table39[[#This Row],[CDP Score]]+Table39[[#This Row],[Climate KPI''s]]+Table39[[#This Row],[Assurance Level]])/4</f>
        <v>0.66</v>
      </c>
      <c r="H133" s="29">
        <f t="shared" si="4"/>
        <v>0.5</v>
      </c>
      <c r="I133" s="29">
        <f t="shared" si="5"/>
        <v>1</v>
      </c>
      <c r="J133" s="29">
        <f t="shared" si="6"/>
        <v>0</v>
      </c>
      <c r="K133" s="51">
        <f>(Table39[[#This Row],[Diversity Linked to Exec Pay]]+Table39[[#This Row],[Board DEI Oversight]]+Table39[[#This Row],[Senior Management Target]])/3</f>
        <v>0.5</v>
      </c>
      <c r="L133" s="51">
        <f>(Table39[[#This Row],[G1 Score]]+Table39[[#This Row],[G2 Score]])/2</f>
        <v>0.58000000000000007</v>
      </c>
    </row>
    <row r="134" spans="2:12" ht="16" x14ac:dyDescent="0.4">
      <c r="B134" s="2" t="s">
        <v>25</v>
      </c>
      <c r="C134">
        <f t="shared" si="8"/>
        <v>0.42</v>
      </c>
      <c r="D134">
        <f t="shared" si="1"/>
        <v>0</v>
      </c>
      <c r="E134">
        <f t="shared" si="2"/>
        <v>0</v>
      </c>
      <c r="F134">
        <f t="shared" si="3"/>
        <v>0.5</v>
      </c>
      <c r="G134" s="51">
        <f>(Table39[[#This Row],[Sust. Report Page '# ]]+Table39[[#This Row],[CDP Score]]+Table39[[#This Row],[Climate KPI''s]]+Table39[[#This Row],[Assurance Level]])/4</f>
        <v>0.22999999999999998</v>
      </c>
      <c r="H134" s="29">
        <f t="shared" si="4"/>
        <v>0.5</v>
      </c>
      <c r="I134" s="29">
        <f t="shared" si="5"/>
        <v>1</v>
      </c>
      <c r="J134" s="29">
        <f t="shared" si="6"/>
        <v>1</v>
      </c>
      <c r="K134" s="51">
        <f>(Table39[[#This Row],[Diversity Linked to Exec Pay]]+Table39[[#This Row],[Board DEI Oversight]]+Table39[[#This Row],[Senior Management Target]])/3</f>
        <v>0.83333333333333337</v>
      </c>
      <c r="L134" s="51">
        <f>(Table39[[#This Row],[G1 Score]]+Table39[[#This Row],[G2 Score]])/2</f>
        <v>0.53166666666666673</v>
      </c>
    </row>
    <row r="135" spans="2:12" ht="16" x14ac:dyDescent="0.4">
      <c r="B135" s="2" t="s">
        <v>211</v>
      </c>
      <c r="C135">
        <v>0</v>
      </c>
      <c r="D135">
        <f t="shared" si="1"/>
        <v>0.6</v>
      </c>
      <c r="E135">
        <f t="shared" si="2"/>
        <v>0</v>
      </c>
      <c r="F135">
        <f t="shared" si="3"/>
        <v>0.5</v>
      </c>
      <c r="G135" s="51">
        <f>(Table39[[#This Row],[Sust. Report Page '# ]]+Table39[[#This Row],[CDP Score]]+Table39[[#This Row],[Climate KPI''s]]+Table39[[#This Row],[Assurance Level]])/4</f>
        <v>0.27500000000000002</v>
      </c>
      <c r="H135" s="29">
        <f t="shared" si="4"/>
        <v>0.5</v>
      </c>
      <c r="I135" s="29">
        <f t="shared" si="5"/>
        <v>1</v>
      </c>
      <c r="J135" s="29">
        <f t="shared" si="6"/>
        <v>0</v>
      </c>
      <c r="K135" s="51">
        <f>(Table39[[#This Row],[Diversity Linked to Exec Pay]]+Table39[[#This Row],[Board DEI Oversight]]+Table39[[#This Row],[Senior Management Target]])/3</f>
        <v>0.5</v>
      </c>
      <c r="L135" s="51">
        <f>(Table39[[#This Row],[G1 Score]]+Table39[[#This Row],[G2 Score]])/2</f>
        <v>0.38750000000000001</v>
      </c>
    </row>
    <row r="136" spans="2:12" ht="16" x14ac:dyDescent="0.4">
      <c r="B136" s="2" t="s">
        <v>217</v>
      </c>
      <c r="C136">
        <f t="shared" ref="C136:C143" si="9">C32/100</f>
        <v>0.25</v>
      </c>
      <c r="D136">
        <f t="shared" si="1"/>
        <v>0.8</v>
      </c>
      <c r="E136">
        <f t="shared" si="2"/>
        <v>0</v>
      </c>
      <c r="F136">
        <f t="shared" si="3"/>
        <v>0.5</v>
      </c>
      <c r="G136" s="51">
        <f>(Table39[[#This Row],[Sust. Report Page '# ]]+Table39[[#This Row],[CDP Score]]+Table39[[#This Row],[Climate KPI''s]]+Table39[[#This Row],[Assurance Level]])/4</f>
        <v>0.38750000000000001</v>
      </c>
      <c r="H136" s="29">
        <f t="shared" si="4"/>
        <v>0.5</v>
      </c>
      <c r="I136" s="29">
        <f t="shared" si="5"/>
        <v>1</v>
      </c>
      <c r="J136" s="29">
        <f t="shared" si="6"/>
        <v>1</v>
      </c>
      <c r="K136" s="51">
        <f>(Table39[[#This Row],[Diversity Linked to Exec Pay]]+Table39[[#This Row],[Board DEI Oversight]]+Table39[[#This Row],[Senior Management Target]])/3</f>
        <v>0.83333333333333337</v>
      </c>
      <c r="L136" s="51">
        <f>(Table39[[#This Row],[G1 Score]]+Table39[[#This Row],[G2 Score]])/2</f>
        <v>0.61041666666666672</v>
      </c>
    </row>
    <row r="137" spans="2:12" ht="16" x14ac:dyDescent="0.4">
      <c r="B137" s="2" t="s">
        <v>223</v>
      </c>
      <c r="C137">
        <f t="shared" si="9"/>
        <v>0.41</v>
      </c>
      <c r="D137">
        <f t="shared" si="1"/>
        <v>1</v>
      </c>
      <c r="E137">
        <f t="shared" si="2"/>
        <v>0</v>
      </c>
      <c r="F137">
        <f t="shared" si="3"/>
        <v>0.5</v>
      </c>
      <c r="G137" s="51">
        <f>(Table39[[#This Row],[Sust. Report Page '# ]]+Table39[[#This Row],[CDP Score]]+Table39[[#This Row],[Climate KPI''s]]+Table39[[#This Row],[Assurance Level]])/4</f>
        <v>0.47749999999999998</v>
      </c>
      <c r="H137" s="29">
        <f t="shared" si="4"/>
        <v>0</v>
      </c>
      <c r="I137" s="29">
        <f t="shared" si="5"/>
        <v>1</v>
      </c>
      <c r="J137" s="29">
        <f t="shared" si="6"/>
        <v>0</v>
      </c>
      <c r="K137" s="51">
        <f>(Table39[[#This Row],[Diversity Linked to Exec Pay]]+Table39[[#This Row],[Board DEI Oversight]]+Table39[[#This Row],[Senior Management Target]])/3</f>
        <v>0.33333333333333331</v>
      </c>
      <c r="L137" s="51">
        <f>(Table39[[#This Row],[G1 Score]]+Table39[[#This Row],[G2 Score]])/2</f>
        <v>0.40541666666666665</v>
      </c>
    </row>
    <row r="138" spans="2:12" ht="16" x14ac:dyDescent="0.4">
      <c r="B138" s="2" t="s">
        <v>27</v>
      </c>
      <c r="C138">
        <f t="shared" si="9"/>
        <v>0.71</v>
      </c>
      <c r="D138">
        <f t="shared" si="1"/>
        <v>0</v>
      </c>
      <c r="E138">
        <f t="shared" si="2"/>
        <v>1</v>
      </c>
      <c r="F138">
        <f t="shared" si="3"/>
        <v>0.5</v>
      </c>
      <c r="G138" s="51">
        <f>(Table39[[#This Row],[Sust. Report Page '# ]]+Table39[[#This Row],[CDP Score]]+Table39[[#This Row],[Climate KPI''s]]+Table39[[#This Row],[Assurance Level]])/4</f>
        <v>0.55249999999999999</v>
      </c>
      <c r="H138" s="29">
        <f t="shared" si="4"/>
        <v>1</v>
      </c>
      <c r="I138" s="29">
        <f t="shared" si="5"/>
        <v>1</v>
      </c>
      <c r="J138" s="29">
        <f t="shared" si="6"/>
        <v>0</v>
      </c>
      <c r="K138" s="51">
        <f>(Table39[[#This Row],[Diversity Linked to Exec Pay]]+Table39[[#This Row],[Board DEI Oversight]]+Table39[[#This Row],[Senior Management Target]])/3</f>
        <v>0.66666666666666663</v>
      </c>
      <c r="L138" s="51">
        <f>(Table39[[#This Row],[G1 Score]]+Table39[[#This Row],[G2 Score]])/2</f>
        <v>0.60958333333333337</v>
      </c>
    </row>
    <row r="139" spans="2:12" ht="16" x14ac:dyDescent="0.4">
      <c r="B139" s="2" t="s">
        <v>28</v>
      </c>
      <c r="C139">
        <f t="shared" si="9"/>
        <v>0.04</v>
      </c>
      <c r="D139">
        <f t="shared" si="1"/>
        <v>0.4</v>
      </c>
      <c r="E139">
        <f t="shared" si="2"/>
        <v>0</v>
      </c>
      <c r="F139">
        <f t="shared" si="3"/>
        <v>0</v>
      </c>
      <c r="G139" s="51">
        <f>(Table39[[#This Row],[Sust. Report Page '# ]]+Table39[[#This Row],[CDP Score]]+Table39[[#This Row],[Climate KPI''s]]+Table39[[#This Row],[Assurance Level]])/4</f>
        <v>0.11</v>
      </c>
      <c r="H139" s="29">
        <f t="shared" si="4"/>
        <v>0</v>
      </c>
      <c r="I139" s="29">
        <f t="shared" si="5"/>
        <v>1</v>
      </c>
      <c r="J139" s="29">
        <f t="shared" si="6"/>
        <v>1</v>
      </c>
      <c r="K139" s="51">
        <f>(Table39[[#This Row],[Diversity Linked to Exec Pay]]+Table39[[#This Row],[Board DEI Oversight]]+Table39[[#This Row],[Senior Management Target]])/3</f>
        <v>0.66666666666666663</v>
      </c>
      <c r="L139" s="51">
        <f>(Table39[[#This Row],[G1 Score]]+Table39[[#This Row],[G2 Score]])/2</f>
        <v>0.38833333333333331</v>
      </c>
    </row>
    <row r="140" spans="2:12" ht="16" x14ac:dyDescent="0.4">
      <c r="B140" s="2" t="s">
        <v>236</v>
      </c>
      <c r="C140">
        <f t="shared" si="9"/>
        <v>0.98</v>
      </c>
      <c r="D140">
        <f t="shared" si="1"/>
        <v>0.6</v>
      </c>
      <c r="E140">
        <f t="shared" si="2"/>
        <v>0</v>
      </c>
      <c r="F140">
        <f t="shared" si="3"/>
        <v>0.5</v>
      </c>
      <c r="G140" s="51">
        <f>(Table39[[#This Row],[Sust. Report Page '# ]]+Table39[[#This Row],[CDP Score]]+Table39[[#This Row],[Climate KPI''s]]+Table39[[#This Row],[Assurance Level]])/4</f>
        <v>0.52</v>
      </c>
      <c r="H140" s="29">
        <f t="shared" si="4"/>
        <v>0</v>
      </c>
      <c r="I140" s="29">
        <f t="shared" si="5"/>
        <v>1</v>
      </c>
      <c r="J140" s="29">
        <f t="shared" si="6"/>
        <v>1</v>
      </c>
      <c r="K140" s="51">
        <f>(Table39[[#This Row],[Diversity Linked to Exec Pay]]+Table39[[#This Row],[Board DEI Oversight]]+Table39[[#This Row],[Senior Management Target]])/3</f>
        <v>0.66666666666666663</v>
      </c>
      <c r="L140" s="51">
        <f>(Table39[[#This Row],[G1 Score]]+Table39[[#This Row],[G2 Score]])/2</f>
        <v>0.59333333333333327</v>
      </c>
    </row>
    <row r="141" spans="2:12" ht="16" x14ac:dyDescent="0.4">
      <c r="B141" s="2" t="s">
        <v>29</v>
      </c>
      <c r="C141">
        <f t="shared" si="9"/>
        <v>0.42</v>
      </c>
      <c r="D141">
        <f t="shared" si="1"/>
        <v>0.6</v>
      </c>
      <c r="E141">
        <f t="shared" si="2"/>
        <v>0</v>
      </c>
      <c r="F141">
        <f t="shared" si="3"/>
        <v>0.5</v>
      </c>
      <c r="G141" s="51">
        <f>(Table39[[#This Row],[Sust. Report Page '# ]]+Table39[[#This Row],[CDP Score]]+Table39[[#This Row],[Climate KPI''s]]+Table39[[#This Row],[Assurance Level]])/4</f>
        <v>0.38</v>
      </c>
      <c r="H141" s="29">
        <f t="shared" si="4"/>
        <v>0.5</v>
      </c>
      <c r="I141" s="29">
        <f t="shared" si="5"/>
        <v>1</v>
      </c>
      <c r="J141" s="29">
        <f t="shared" si="6"/>
        <v>1</v>
      </c>
      <c r="K141" s="51">
        <f>(Table39[[#This Row],[Diversity Linked to Exec Pay]]+Table39[[#This Row],[Board DEI Oversight]]+Table39[[#This Row],[Senior Management Target]])/3</f>
        <v>0.83333333333333337</v>
      </c>
      <c r="L141" s="51">
        <f>(Table39[[#This Row],[G1 Score]]+Table39[[#This Row],[G2 Score]])/2</f>
        <v>0.60666666666666669</v>
      </c>
    </row>
    <row r="142" spans="2:12" ht="16" x14ac:dyDescent="0.4">
      <c r="B142" s="2" t="s">
        <v>694</v>
      </c>
      <c r="C142">
        <f t="shared" si="9"/>
        <v>0.05</v>
      </c>
      <c r="D142">
        <f t="shared" si="1"/>
        <v>0</v>
      </c>
      <c r="E142">
        <f t="shared" si="2"/>
        <v>1</v>
      </c>
      <c r="F142">
        <f t="shared" si="3"/>
        <v>1</v>
      </c>
      <c r="G142" s="51">
        <f>(Table39[[#This Row],[Sust. Report Page '# ]]+Table39[[#This Row],[CDP Score]]+Table39[[#This Row],[Climate KPI''s]]+Table39[[#This Row],[Assurance Level]])/4</f>
        <v>0.51249999999999996</v>
      </c>
      <c r="H142" s="29">
        <f t="shared" si="4"/>
        <v>0.5</v>
      </c>
      <c r="I142" s="29">
        <f t="shared" si="5"/>
        <v>1</v>
      </c>
      <c r="J142" s="29">
        <f t="shared" si="6"/>
        <v>0</v>
      </c>
      <c r="K142" s="51">
        <f>(Table39[[#This Row],[Diversity Linked to Exec Pay]]+Table39[[#This Row],[Board DEI Oversight]]+Table39[[#This Row],[Senior Management Target]])/3</f>
        <v>0.5</v>
      </c>
      <c r="L142" s="51">
        <f>(Table39[[#This Row],[G1 Score]]+Table39[[#This Row],[G2 Score]])/2</f>
        <v>0.50624999999999998</v>
      </c>
    </row>
    <row r="143" spans="2:12" ht="16" x14ac:dyDescent="0.4">
      <c r="B143" s="2" t="s">
        <v>30</v>
      </c>
      <c r="C143">
        <f t="shared" si="9"/>
        <v>0.28000000000000003</v>
      </c>
      <c r="D143">
        <f t="shared" si="1"/>
        <v>0.8</v>
      </c>
      <c r="E143">
        <f t="shared" si="2"/>
        <v>0</v>
      </c>
      <c r="F143">
        <f t="shared" si="3"/>
        <v>0.5</v>
      </c>
      <c r="G143" s="51">
        <f>(Table39[[#This Row],[Sust. Report Page '# ]]+Table39[[#This Row],[CDP Score]]+Table39[[#This Row],[Climate KPI''s]]+Table39[[#This Row],[Assurance Level]])/4</f>
        <v>0.39500000000000002</v>
      </c>
      <c r="H143" s="29">
        <f t="shared" si="4"/>
        <v>1</v>
      </c>
      <c r="I143" s="29">
        <f t="shared" si="5"/>
        <v>1</v>
      </c>
      <c r="J143" s="29">
        <f t="shared" si="6"/>
        <v>0</v>
      </c>
      <c r="K143" s="51">
        <f>(Table39[[#This Row],[Diversity Linked to Exec Pay]]+Table39[[#This Row],[Board DEI Oversight]]+Table39[[#This Row],[Senior Management Target]])/3</f>
        <v>0.66666666666666663</v>
      </c>
      <c r="L143" s="51">
        <f>(Table39[[#This Row],[G1 Score]]+Table39[[#This Row],[G2 Score]])/2</f>
        <v>0.53083333333333327</v>
      </c>
    </row>
    <row r="144" spans="2:12" ht="16" x14ac:dyDescent="0.4">
      <c r="B144" s="2" t="s">
        <v>31</v>
      </c>
      <c r="C144">
        <v>0</v>
      </c>
      <c r="D144">
        <f t="shared" si="1"/>
        <v>0</v>
      </c>
      <c r="E144">
        <f t="shared" si="2"/>
        <v>0</v>
      </c>
      <c r="F144">
        <f t="shared" si="3"/>
        <v>0</v>
      </c>
      <c r="G144" s="51">
        <f>(Table39[[#This Row],[Sust. Report Page '# ]]+Table39[[#This Row],[CDP Score]]+Table39[[#This Row],[Climate KPI''s]]+Table39[[#This Row],[Assurance Level]])/4</f>
        <v>0</v>
      </c>
      <c r="H144" s="29">
        <f t="shared" si="4"/>
        <v>0.5</v>
      </c>
      <c r="I144" s="29">
        <f t="shared" si="5"/>
        <v>1</v>
      </c>
      <c r="J144" s="29">
        <f t="shared" si="6"/>
        <v>0</v>
      </c>
      <c r="K144" s="51">
        <f>(Table39[[#This Row],[Diversity Linked to Exec Pay]]+Table39[[#This Row],[Board DEI Oversight]]+Table39[[#This Row],[Senior Management Target]])/3</f>
        <v>0.5</v>
      </c>
      <c r="L144" s="51">
        <f>(Table39[[#This Row],[G1 Score]]+Table39[[#This Row],[G2 Score]])/2</f>
        <v>0.25</v>
      </c>
    </row>
    <row r="145" spans="2:12" ht="16" x14ac:dyDescent="0.4">
      <c r="B145" s="2" t="s">
        <v>32</v>
      </c>
      <c r="C145">
        <f t="shared" ref="C145:C208" si="10">C41/100</f>
        <v>0.02</v>
      </c>
      <c r="D145">
        <f t="shared" si="1"/>
        <v>0.4</v>
      </c>
      <c r="E145">
        <f t="shared" si="2"/>
        <v>0</v>
      </c>
      <c r="F145">
        <f t="shared" si="3"/>
        <v>0.5</v>
      </c>
      <c r="G145" s="51">
        <f>(Table39[[#This Row],[Sust. Report Page '# ]]+Table39[[#This Row],[CDP Score]]+Table39[[#This Row],[Climate KPI''s]]+Table39[[#This Row],[Assurance Level]])/4</f>
        <v>0.23</v>
      </c>
      <c r="H145" s="29">
        <f t="shared" si="4"/>
        <v>0</v>
      </c>
      <c r="I145" s="29">
        <f t="shared" si="5"/>
        <v>1</v>
      </c>
      <c r="J145" s="29">
        <f t="shared" si="6"/>
        <v>0</v>
      </c>
      <c r="K145" s="51">
        <f>(Table39[[#This Row],[Diversity Linked to Exec Pay]]+Table39[[#This Row],[Board DEI Oversight]]+Table39[[#This Row],[Senior Management Target]])/3</f>
        <v>0.33333333333333331</v>
      </c>
      <c r="L145" s="51">
        <f>(Table39[[#This Row],[G1 Score]]+Table39[[#This Row],[G2 Score]])/2</f>
        <v>0.28166666666666668</v>
      </c>
    </row>
    <row r="146" spans="2:12" ht="16" x14ac:dyDescent="0.4">
      <c r="B146" s="2" t="s">
        <v>33</v>
      </c>
      <c r="C146">
        <f t="shared" si="10"/>
        <v>0.01</v>
      </c>
      <c r="D146">
        <f t="shared" si="1"/>
        <v>0</v>
      </c>
      <c r="E146">
        <f t="shared" si="2"/>
        <v>0</v>
      </c>
      <c r="F146">
        <f t="shared" si="3"/>
        <v>0</v>
      </c>
      <c r="G146" s="51">
        <f>(Table39[[#This Row],[Sust. Report Page '# ]]+Table39[[#This Row],[CDP Score]]+Table39[[#This Row],[Climate KPI''s]]+Table39[[#This Row],[Assurance Level]])/4</f>
        <v>2.5000000000000001E-3</v>
      </c>
      <c r="H146" s="29">
        <f t="shared" si="4"/>
        <v>0.5</v>
      </c>
      <c r="I146" s="29">
        <f t="shared" si="5"/>
        <v>1</v>
      </c>
      <c r="J146" s="29">
        <f t="shared" si="6"/>
        <v>0</v>
      </c>
      <c r="K146" s="51">
        <f>(Table39[[#This Row],[Diversity Linked to Exec Pay]]+Table39[[#This Row],[Board DEI Oversight]]+Table39[[#This Row],[Senior Management Target]])/3</f>
        <v>0.5</v>
      </c>
      <c r="L146" s="51">
        <f>(Table39[[#This Row],[G1 Score]]+Table39[[#This Row],[G2 Score]])/2</f>
        <v>0.25124999999999997</v>
      </c>
    </row>
    <row r="147" spans="2:12" ht="16" x14ac:dyDescent="0.4">
      <c r="B147" s="2" t="s">
        <v>34</v>
      </c>
      <c r="C147">
        <f t="shared" si="10"/>
        <v>0.7</v>
      </c>
      <c r="D147">
        <f t="shared" si="1"/>
        <v>0</v>
      </c>
      <c r="E147">
        <f t="shared" si="2"/>
        <v>1</v>
      </c>
      <c r="F147">
        <f t="shared" si="3"/>
        <v>0.5</v>
      </c>
      <c r="G147" s="51">
        <f>(Table39[[#This Row],[Sust. Report Page '# ]]+Table39[[#This Row],[CDP Score]]+Table39[[#This Row],[Climate KPI''s]]+Table39[[#This Row],[Assurance Level]])/4</f>
        <v>0.55000000000000004</v>
      </c>
      <c r="H147" s="29">
        <f t="shared" si="4"/>
        <v>0.5</v>
      </c>
      <c r="I147" s="29">
        <f t="shared" si="5"/>
        <v>1</v>
      </c>
      <c r="J147" s="29">
        <f t="shared" si="6"/>
        <v>0</v>
      </c>
      <c r="K147" s="51">
        <f>(Table39[[#This Row],[Diversity Linked to Exec Pay]]+Table39[[#This Row],[Board DEI Oversight]]+Table39[[#This Row],[Senior Management Target]])/3</f>
        <v>0.5</v>
      </c>
      <c r="L147" s="51">
        <f>(Table39[[#This Row],[G1 Score]]+Table39[[#This Row],[G2 Score]])/2</f>
        <v>0.52500000000000002</v>
      </c>
    </row>
    <row r="148" spans="2:12" ht="16" x14ac:dyDescent="0.4">
      <c r="B148" s="2" t="s">
        <v>269</v>
      </c>
      <c r="C148">
        <f t="shared" si="10"/>
        <v>0.54</v>
      </c>
      <c r="D148">
        <f t="shared" si="1"/>
        <v>1</v>
      </c>
      <c r="E148">
        <f t="shared" si="2"/>
        <v>1</v>
      </c>
      <c r="F148">
        <f t="shared" si="3"/>
        <v>0.5</v>
      </c>
      <c r="G148" s="51">
        <f>(Table39[[#This Row],[Sust. Report Page '# ]]+Table39[[#This Row],[CDP Score]]+Table39[[#This Row],[Climate KPI''s]]+Table39[[#This Row],[Assurance Level]])/4</f>
        <v>0.76</v>
      </c>
      <c r="H148" s="29">
        <f t="shared" si="4"/>
        <v>1</v>
      </c>
      <c r="I148" s="29">
        <f t="shared" si="5"/>
        <v>1</v>
      </c>
      <c r="J148" s="29">
        <f t="shared" si="6"/>
        <v>0</v>
      </c>
      <c r="K148" s="51">
        <f>(Table39[[#This Row],[Diversity Linked to Exec Pay]]+Table39[[#This Row],[Board DEI Oversight]]+Table39[[#This Row],[Senior Management Target]])/3</f>
        <v>0.66666666666666663</v>
      </c>
      <c r="L148" s="51">
        <f>(Table39[[#This Row],[G1 Score]]+Table39[[#This Row],[G2 Score]])/2</f>
        <v>0.71333333333333337</v>
      </c>
    </row>
    <row r="149" spans="2:12" ht="16" x14ac:dyDescent="0.4">
      <c r="B149" s="2" t="s">
        <v>35</v>
      </c>
      <c r="C149">
        <f t="shared" si="10"/>
        <v>0.76</v>
      </c>
      <c r="D149">
        <f t="shared" si="1"/>
        <v>0.6</v>
      </c>
      <c r="E149">
        <f t="shared" si="2"/>
        <v>1</v>
      </c>
      <c r="F149">
        <f t="shared" si="3"/>
        <v>0.5</v>
      </c>
      <c r="G149" s="51">
        <f>(Table39[[#This Row],[Sust. Report Page '# ]]+Table39[[#This Row],[CDP Score]]+Table39[[#This Row],[Climate KPI''s]]+Table39[[#This Row],[Assurance Level]])/4</f>
        <v>0.71499999999999997</v>
      </c>
      <c r="H149" s="29">
        <f t="shared" si="4"/>
        <v>1</v>
      </c>
      <c r="I149" s="29">
        <f t="shared" si="5"/>
        <v>1</v>
      </c>
      <c r="J149" s="29">
        <f t="shared" si="6"/>
        <v>1</v>
      </c>
      <c r="K149" s="51">
        <f>(Table39[[#This Row],[Diversity Linked to Exec Pay]]+Table39[[#This Row],[Board DEI Oversight]]+Table39[[#This Row],[Senior Management Target]])/3</f>
        <v>1</v>
      </c>
      <c r="L149" s="51">
        <f>(Table39[[#This Row],[G1 Score]]+Table39[[#This Row],[G2 Score]])/2</f>
        <v>0.85749999999999993</v>
      </c>
    </row>
    <row r="150" spans="2:12" ht="16" x14ac:dyDescent="0.4">
      <c r="B150" s="2" t="s">
        <v>36</v>
      </c>
      <c r="C150">
        <f t="shared" si="10"/>
        <v>0.33</v>
      </c>
      <c r="D150">
        <f t="shared" si="1"/>
        <v>0.6</v>
      </c>
      <c r="E150">
        <f t="shared" si="2"/>
        <v>0</v>
      </c>
      <c r="F150">
        <f t="shared" si="3"/>
        <v>0.5</v>
      </c>
      <c r="G150" s="51">
        <f>(Table39[[#This Row],[Sust. Report Page '# ]]+Table39[[#This Row],[CDP Score]]+Table39[[#This Row],[Climate KPI''s]]+Table39[[#This Row],[Assurance Level]])/4</f>
        <v>0.35749999999999998</v>
      </c>
      <c r="H150" s="29">
        <f t="shared" si="4"/>
        <v>0.5</v>
      </c>
      <c r="I150" s="29">
        <f t="shared" si="5"/>
        <v>1</v>
      </c>
      <c r="J150" s="29">
        <f t="shared" si="6"/>
        <v>1</v>
      </c>
      <c r="K150" s="51">
        <f>(Table39[[#This Row],[Diversity Linked to Exec Pay]]+Table39[[#This Row],[Board DEI Oversight]]+Table39[[#This Row],[Senior Management Target]])/3</f>
        <v>0.83333333333333337</v>
      </c>
      <c r="L150" s="51">
        <f>(Table39[[#This Row],[G1 Score]]+Table39[[#This Row],[G2 Score]])/2</f>
        <v>0.59541666666666671</v>
      </c>
    </row>
    <row r="151" spans="2:12" ht="16" x14ac:dyDescent="0.4">
      <c r="B151" s="2" t="s">
        <v>282</v>
      </c>
      <c r="C151">
        <f t="shared" si="10"/>
        <v>0.01</v>
      </c>
      <c r="D151">
        <f t="shared" si="1"/>
        <v>0</v>
      </c>
      <c r="E151">
        <f t="shared" si="2"/>
        <v>0</v>
      </c>
      <c r="F151">
        <f t="shared" si="3"/>
        <v>0</v>
      </c>
      <c r="G151" s="51">
        <f>(Table39[[#This Row],[Sust. Report Page '# ]]+Table39[[#This Row],[CDP Score]]+Table39[[#This Row],[Climate KPI''s]]+Table39[[#This Row],[Assurance Level]])/4</f>
        <v>2.5000000000000001E-3</v>
      </c>
      <c r="H151" s="29">
        <f t="shared" si="4"/>
        <v>0.5</v>
      </c>
      <c r="I151" s="29">
        <f t="shared" si="5"/>
        <v>1</v>
      </c>
      <c r="J151" s="29">
        <f t="shared" si="6"/>
        <v>0</v>
      </c>
      <c r="K151" s="51">
        <f>(Table39[[#This Row],[Diversity Linked to Exec Pay]]+Table39[[#This Row],[Board DEI Oversight]]+Table39[[#This Row],[Senior Management Target]])/3</f>
        <v>0.5</v>
      </c>
      <c r="L151" s="51">
        <f>(Table39[[#This Row],[G1 Score]]+Table39[[#This Row],[G2 Score]])/2</f>
        <v>0.25124999999999997</v>
      </c>
    </row>
    <row r="152" spans="2:12" ht="16" x14ac:dyDescent="0.4">
      <c r="B152" s="2" t="s">
        <v>287</v>
      </c>
      <c r="C152">
        <f t="shared" si="10"/>
        <v>0.53</v>
      </c>
      <c r="D152">
        <f t="shared" si="1"/>
        <v>0.6</v>
      </c>
      <c r="E152">
        <f t="shared" si="2"/>
        <v>0</v>
      </c>
      <c r="F152">
        <f t="shared" si="3"/>
        <v>0.5</v>
      </c>
      <c r="G152" s="51">
        <f>(Table39[[#This Row],[Sust. Report Page '# ]]+Table39[[#This Row],[CDP Score]]+Table39[[#This Row],[Climate KPI''s]]+Table39[[#This Row],[Assurance Level]])/4</f>
        <v>0.40749999999999997</v>
      </c>
      <c r="H152" s="29">
        <f t="shared" si="4"/>
        <v>0</v>
      </c>
      <c r="I152" s="29">
        <f t="shared" si="5"/>
        <v>1</v>
      </c>
      <c r="J152" s="29">
        <f t="shared" si="6"/>
        <v>0</v>
      </c>
      <c r="K152" s="51">
        <f>(Table39[[#This Row],[Diversity Linked to Exec Pay]]+Table39[[#This Row],[Board DEI Oversight]]+Table39[[#This Row],[Senior Management Target]])/3</f>
        <v>0.33333333333333331</v>
      </c>
      <c r="L152" s="51">
        <f>(Table39[[#This Row],[G1 Score]]+Table39[[#This Row],[G2 Score]])/2</f>
        <v>0.37041666666666662</v>
      </c>
    </row>
    <row r="153" spans="2:12" ht="16" x14ac:dyDescent="0.4">
      <c r="B153" s="2" t="s">
        <v>37</v>
      </c>
      <c r="C153">
        <f t="shared" si="10"/>
        <v>0.01</v>
      </c>
      <c r="D153">
        <f t="shared" si="1"/>
        <v>0.6</v>
      </c>
      <c r="E153">
        <f t="shared" si="2"/>
        <v>0</v>
      </c>
      <c r="F153">
        <f t="shared" si="3"/>
        <v>0</v>
      </c>
      <c r="G153" s="51">
        <f>(Table39[[#This Row],[Sust. Report Page '# ]]+Table39[[#This Row],[CDP Score]]+Table39[[#This Row],[Climate KPI''s]]+Table39[[#This Row],[Assurance Level]])/4</f>
        <v>0.1525</v>
      </c>
      <c r="H153" s="29">
        <f t="shared" si="4"/>
        <v>1</v>
      </c>
      <c r="I153" s="29">
        <f t="shared" si="5"/>
        <v>1</v>
      </c>
      <c r="J153" s="29">
        <f t="shared" si="6"/>
        <v>1</v>
      </c>
      <c r="K153" s="51">
        <f>(Table39[[#This Row],[Diversity Linked to Exec Pay]]+Table39[[#This Row],[Board DEI Oversight]]+Table39[[#This Row],[Senior Management Target]])/3</f>
        <v>1</v>
      </c>
      <c r="L153" s="51">
        <f>(Table39[[#This Row],[G1 Score]]+Table39[[#This Row],[G2 Score]])/2</f>
        <v>0.57625000000000004</v>
      </c>
    </row>
    <row r="154" spans="2:12" ht="16" x14ac:dyDescent="0.4">
      <c r="B154" s="2" t="s">
        <v>297</v>
      </c>
      <c r="C154">
        <f t="shared" si="10"/>
        <v>0.1</v>
      </c>
      <c r="D154">
        <f t="shared" si="1"/>
        <v>0.6</v>
      </c>
      <c r="E154">
        <f t="shared" si="2"/>
        <v>0</v>
      </c>
      <c r="F154">
        <f t="shared" si="3"/>
        <v>0</v>
      </c>
      <c r="G154" s="51">
        <f>(Table39[[#This Row],[Sust. Report Page '# ]]+Table39[[#This Row],[CDP Score]]+Table39[[#This Row],[Climate KPI''s]]+Table39[[#This Row],[Assurance Level]])/4</f>
        <v>0.17499999999999999</v>
      </c>
      <c r="H154" s="29">
        <f t="shared" si="4"/>
        <v>0</v>
      </c>
      <c r="I154" s="29">
        <f t="shared" si="5"/>
        <v>1</v>
      </c>
      <c r="J154" s="29">
        <f t="shared" si="6"/>
        <v>0</v>
      </c>
      <c r="K154" s="51">
        <f>(Table39[[#This Row],[Diversity Linked to Exec Pay]]+Table39[[#This Row],[Board DEI Oversight]]+Table39[[#This Row],[Senior Management Target]])/3</f>
        <v>0.33333333333333331</v>
      </c>
      <c r="L154" s="51">
        <f>(Table39[[#This Row],[G1 Score]]+Table39[[#This Row],[G2 Score]])/2</f>
        <v>0.25416666666666665</v>
      </c>
    </row>
    <row r="155" spans="2:12" ht="16" x14ac:dyDescent="0.4">
      <c r="B155" s="2" t="s">
        <v>38</v>
      </c>
      <c r="C155">
        <f t="shared" si="10"/>
        <v>0.31</v>
      </c>
      <c r="D155">
        <f t="shared" si="1"/>
        <v>0</v>
      </c>
      <c r="E155">
        <f t="shared" si="2"/>
        <v>1</v>
      </c>
      <c r="F155">
        <f t="shared" si="3"/>
        <v>0.5</v>
      </c>
      <c r="G155" s="51">
        <f>(Table39[[#This Row],[Sust. Report Page '# ]]+Table39[[#This Row],[CDP Score]]+Table39[[#This Row],[Climate KPI''s]]+Table39[[#This Row],[Assurance Level]])/4</f>
        <v>0.45250000000000001</v>
      </c>
      <c r="H155" s="29">
        <f t="shared" si="4"/>
        <v>0.5</v>
      </c>
      <c r="I155" s="29">
        <f t="shared" si="5"/>
        <v>1</v>
      </c>
      <c r="J155" s="29">
        <f t="shared" si="6"/>
        <v>0</v>
      </c>
      <c r="K155" s="51">
        <f>(Table39[[#This Row],[Diversity Linked to Exec Pay]]+Table39[[#This Row],[Board DEI Oversight]]+Table39[[#This Row],[Senior Management Target]])/3</f>
        <v>0.5</v>
      </c>
      <c r="L155" s="51">
        <f>(Table39[[#This Row],[G1 Score]]+Table39[[#This Row],[G2 Score]])/2</f>
        <v>0.47625000000000001</v>
      </c>
    </row>
    <row r="156" spans="2:12" ht="16" x14ac:dyDescent="0.4">
      <c r="B156" s="2" t="s">
        <v>307</v>
      </c>
      <c r="C156">
        <f t="shared" si="10"/>
        <v>0.01</v>
      </c>
      <c r="D156">
        <f t="shared" si="1"/>
        <v>0.6</v>
      </c>
      <c r="E156">
        <f t="shared" si="2"/>
        <v>0</v>
      </c>
      <c r="F156">
        <f t="shared" si="3"/>
        <v>0</v>
      </c>
      <c r="G156" s="51">
        <f>(Table39[[#This Row],[Sust. Report Page '# ]]+Table39[[#This Row],[CDP Score]]+Table39[[#This Row],[Climate KPI''s]]+Table39[[#This Row],[Assurance Level]])/4</f>
        <v>0.1525</v>
      </c>
      <c r="H156" s="29">
        <f t="shared" si="4"/>
        <v>0</v>
      </c>
      <c r="I156" s="29">
        <f t="shared" si="5"/>
        <v>1</v>
      </c>
      <c r="J156" s="29">
        <f t="shared" si="6"/>
        <v>1</v>
      </c>
      <c r="K156" s="51">
        <f>(Table39[[#This Row],[Diversity Linked to Exec Pay]]+Table39[[#This Row],[Board DEI Oversight]]+Table39[[#This Row],[Senior Management Target]])/3</f>
        <v>0.66666666666666663</v>
      </c>
      <c r="L156" s="51">
        <f>(Table39[[#This Row],[G1 Score]]+Table39[[#This Row],[G2 Score]])/2</f>
        <v>0.4095833333333333</v>
      </c>
    </row>
    <row r="157" spans="2:12" ht="16" x14ac:dyDescent="0.4">
      <c r="B157" s="2" t="s">
        <v>40</v>
      </c>
      <c r="C157">
        <f t="shared" si="10"/>
        <v>0.38</v>
      </c>
      <c r="D157">
        <f t="shared" si="1"/>
        <v>1</v>
      </c>
      <c r="E157">
        <f t="shared" si="2"/>
        <v>1</v>
      </c>
      <c r="F157">
        <f t="shared" si="3"/>
        <v>0.5</v>
      </c>
      <c r="G157" s="51">
        <f>(Table39[[#This Row],[Sust. Report Page '# ]]+Table39[[#This Row],[CDP Score]]+Table39[[#This Row],[Climate KPI''s]]+Table39[[#This Row],[Assurance Level]])/4</f>
        <v>0.72</v>
      </c>
      <c r="H157" s="29">
        <f t="shared" si="4"/>
        <v>0.5</v>
      </c>
      <c r="I157" s="29">
        <f t="shared" si="5"/>
        <v>1</v>
      </c>
      <c r="J157" s="29">
        <f t="shared" si="6"/>
        <v>1</v>
      </c>
      <c r="K157" s="51">
        <f>(Table39[[#This Row],[Diversity Linked to Exec Pay]]+Table39[[#This Row],[Board DEI Oversight]]+Table39[[#This Row],[Senior Management Target]])/3</f>
        <v>0.83333333333333337</v>
      </c>
      <c r="L157" s="51">
        <f>(Table39[[#This Row],[G1 Score]]+Table39[[#This Row],[G2 Score]])/2</f>
        <v>0.77666666666666662</v>
      </c>
    </row>
    <row r="158" spans="2:12" ht="16" x14ac:dyDescent="0.4">
      <c r="B158" s="2" t="s">
        <v>41</v>
      </c>
      <c r="C158">
        <f t="shared" si="10"/>
        <v>0.56000000000000005</v>
      </c>
      <c r="D158">
        <f t="shared" si="1"/>
        <v>0</v>
      </c>
      <c r="E158">
        <f t="shared" si="2"/>
        <v>0</v>
      </c>
      <c r="F158">
        <f t="shared" si="3"/>
        <v>0.5</v>
      </c>
      <c r="G158" s="51">
        <f>(Table39[[#This Row],[Sust. Report Page '# ]]+Table39[[#This Row],[CDP Score]]+Table39[[#This Row],[Climate KPI''s]]+Table39[[#This Row],[Assurance Level]])/4</f>
        <v>0.26500000000000001</v>
      </c>
      <c r="H158" s="29">
        <f t="shared" si="4"/>
        <v>0.5</v>
      </c>
      <c r="I158" s="29">
        <f t="shared" si="5"/>
        <v>1</v>
      </c>
      <c r="J158" s="29">
        <f t="shared" si="6"/>
        <v>1</v>
      </c>
      <c r="K158" s="51">
        <f>(Table39[[#This Row],[Diversity Linked to Exec Pay]]+Table39[[#This Row],[Board DEI Oversight]]+Table39[[#This Row],[Senior Management Target]])/3</f>
        <v>0.83333333333333337</v>
      </c>
      <c r="L158" s="51">
        <f>(Table39[[#This Row],[G1 Score]]+Table39[[#This Row],[G2 Score]])/2</f>
        <v>0.54916666666666669</v>
      </c>
    </row>
    <row r="159" spans="2:12" ht="16" x14ac:dyDescent="0.4">
      <c r="B159" s="2" t="s">
        <v>320</v>
      </c>
      <c r="C159">
        <f t="shared" si="10"/>
        <v>0.65</v>
      </c>
      <c r="D159">
        <f t="shared" si="1"/>
        <v>0</v>
      </c>
      <c r="E159">
        <f t="shared" si="2"/>
        <v>1</v>
      </c>
      <c r="F159">
        <f t="shared" si="3"/>
        <v>0</v>
      </c>
      <c r="G159" s="51">
        <f>(Table39[[#This Row],[Sust. Report Page '# ]]+Table39[[#This Row],[CDP Score]]+Table39[[#This Row],[Climate KPI''s]]+Table39[[#This Row],[Assurance Level]])/4</f>
        <v>0.41249999999999998</v>
      </c>
      <c r="H159" s="29">
        <f t="shared" si="4"/>
        <v>1</v>
      </c>
      <c r="I159" s="29">
        <f t="shared" si="5"/>
        <v>1</v>
      </c>
      <c r="J159" s="29">
        <f t="shared" si="6"/>
        <v>0</v>
      </c>
      <c r="K159" s="51">
        <f>(Table39[[#This Row],[Diversity Linked to Exec Pay]]+Table39[[#This Row],[Board DEI Oversight]]+Table39[[#This Row],[Senior Management Target]])/3</f>
        <v>0.66666666666666663</v>
      </c>
      <c r="L159" s="51">
        <f>(Table39[[#This Row],[G1 Score]]+Table39[[#This Row],[G2 Score]])/2</f>
        <v>0.5395833333333333</v>
      </c>
    </row>
    <row r="160" spans="2:12" ht="16" x14ac:dyDescent="0.4">
      <c r="B160" s="2" t="s">
        <v>42</v>
      </c>
      <c r="C160">
        <f t="shared" si="10"/>
        <v>0.69</v>
      </c>
      <c r="D160">
        <f t="shared" si="1"/>
        <v>0.8</v>
      </c>
      <c r="E160">
        <f t="shared" si="2"/>
        <v>0</v>
      </c>
      <c r="F160">
        <f t="shared" si="3"/>
        <v>0.5</v>
      </c>
      <c r="G160" s="51">
        <f>(Table39[[#This Row],[Sust. Report Page '# ]]+Table39[[#This Row],[CDP Score]]+Table39[[#This Row],[Climate KPI''s]]+Table39[[#This Row],[Assurance Level]])/4</f>
        <v>0.4975</v>
      </c>
      <c r="H160" s="29">
        <f t="shared" si="4"/>
        <v>1</v>
      </c>
      <c r="I160" s="29">
        <f t="shared" si="5"/>
        <v>1</v>
      </c>
      <c r="J160" s="29">
        <f t="shared" si="6"/>
        <v>1</v>
      </c>
      <c r="K160" s="51">
        <f>(Table39[[#This Row],[Diversity Linked to Exec Pay]]+Table39[[#This Row],[Board DEI Oversight]]+Table39[[#This Row],[Senior Management Target]])/3</f>
        <v>1</v>
      </c>
      <c r="L160" s="51">
        <f>(Table39[[#This Row],[G1 Score]]+Table39[[#This Row],[G2 Score]])/2</f>
        <v>0.74875000000000003</v>
      </c>
    </row>
    <row r="161" spans="2:12" ht="16" x14ac:dyDescent="0.4">
      <c r="B161" s="2" t="s">
        <v>329</v>
      </c>
      <c r="C161">
        <f t="shared" si="10"/>
        <v>1.36</v>
      </c>
      <c r="D161">
        <f t="shared" si="1"/>
        <v>0.8</v>
      </c>
      <c r="E161">
        <f t="shared" si="2"/>
        <v>1</v>
      </c>
      <c r="F161">
        <f t="shared" si="3"/>
        <v>0.5</v>
      </c>
      <c r="G161" s="51">
        <f>(Table39[[#This Row],[Sust. Report Page '# ]]+Table39[[#This Row],[CDP Score]]+Table39[[#This Row],[Climate KPI''s]]+Table39[[#This Row],[Assurance Level]])/4</f>
        <v>0.91500000000000004</v>
      </c>
      <c r="H161" s="29">
        <f t="shared" si="4"/>
        <v>0</v>
      </c>
      <c r="I161" s="29">
        <f t="shared" si="5"/>
        <v>1</v>
      </c>
      <c r="J161" s="29">
        <f t="shared" si="6"/>
        <v>0</v>
      </c>
      <c r="K161" s="51">
        <f>(Table39[[#This Row],[Diversity Linked to Exec Pay]]+Table39[[#This Row],[Board DEI Oversight]]+Table39[[#This Row],[Senior Management Target]])/3</f>
        <v>0.33333333333333331</v>
      </c>
      <c r="L161" s="51">
        <f>(Table39[[#This Row],[G1 Score]]+Table39[[#This Row],[G2 Score]])/2</f>
        <v>0.62416666666666665</v>
      </c>
    </row>
    <row r="162" spans="2:12" ht="16" x14ac:dyDescent="0.4">
      <c r="B162" s="2" t="s">
        <v>334</v>
      </c>
      <c r="C162">
        <f t="shared" si="10"/>
        <v>0.8</v>
      </c>
      <c r="D162">
        <f t="shared" si="1"/>
        <v>0</v>
      </c>
      <c r="E162">
        <f t="shared" si="2"/>
        <v>0</v>
      </c>
      <c r="F162">
        <f t="shared" si="3"/>
        <v>0</v>
      </c>
      <c r="G162" s="51">
        <f>(Table39[[#This Row],[Sust. Report Page '# ]]+Table39[[#This Row],[CDP Score]]+Table39[[#This Row],[Climate KPI''s]]+Table39[[#This Row],[Assurance Level]])/4</f>
        <v>0.2</v>
      </c>
      <c r="H162" s="29">
        <f t="shared" si="4"/>
        <v>0.5</v>
      </c>
      <c r="I162" s="29">
        <f t="shared" si="5"/>
        <v>1</v>
      </c>
      <c r="J162" s="29">
        <f t="shared" si="6"/>
        <v>0</v>
      </c>
      <c r="K162" s="51">
        <f>(Table39[[#This Row],[Diversity Linked to Exec Pay]]+Table39[[#This Row],[Board DEI Oversight]]+Table39[[#This Row],[Senior Management Target]])/3</f>
        <v>0.5</v>
      </c>
      <c r="L162" s="51">
        <f>(Table39[[#This Row],[G1 Score]]+Table39[[#This Row],[G2 Score]])/2</f>
        <v>0.35</v>
      </c>
    </row>
    <row r="163" spans="2:12" ht="16" x14ac:dyDescent="0.4">
      <c r="B163" s="2" t="s">
        <v>43</v>
      </c>
      <c r="C163">
        <f t="shared" si="10"/>
        <v>0.01</v>
      </c>
      <c r="D163">
        <f t="shared" si="1"/>
        <v>1</v>
      </c>
      <c r="E163">
        <f t="shared" si="2"/>
        <v>0</v>
      </c>
      <c r="F163">
        <f t="shared" si="3"/>
        <v>0</v>
      </c>
      <c r="G163" s="51">
        <f>(Table39[[#This Row],[Sust. Report Page '# ]]+Table39[[#This Row],[CDP Score]]+Table39[[#This Row],[Climate KPI''s]]+Table39[[#This Row],[Assurance Level]])/4</f>
        <v>0.2525</v>
      </c>
      <c r="H163" s="29">
        <f t="shared" si="4"/>
        <v>0</v>
      </c>
      <c r="I163" s="29">
        <f t="shared" si="5"/>
        <v>1</v>
      </c>
      <c r="J163" s="29">
        <f t="shared" si="6"/>
        <v>1</v>
      </c>
      <c r="K163" s="51">
        <f>(Table39[[#This Row],[Diversity Linked to Exec Pay]]+Table39[[#This Row],[Board DEI Oversight]]+Table39[[#This Row],[Senior Management Target]])/3</f>
        <v>0.66666666666666663</v>
      </c>
      <c r="L163" s="51">
        <f>(Table39[[#This Row],[G1 Score]]+Table39[[#This Row],[G2 Score]])/2</f>
        <v>0.45958333333333334</v>
      </c>
    </row>
    <row r="164" spans="2:12" ht="16" x14ac:dyDescent="0.4">
      <c r="B164" s="2" t="s">
        <v>44</v>
      </c>
      <c r="C164">
        <f t="shared" si="10"/>
        <v>0.49</v>
      </c>
      <c r="D164">
        <f t="shared" si="1"/>
        <v>1</v>
      </c>
      <c r="E164">
        <f t="shared" si="2"/>
        <v>1</v>
      </c>
      <c r="F164">
        <f t="shared" si="3"/>
        <v>0</v>
      </c>
      <c r="G164" s="51">
        <f>(Table39[[#This Row],[Sust. Report Page '# ]]+Table39[[#This Row],[CDP Score]]+Table39[[#This Row],[Climate KPI''s]]+Table39[[#This Row],[Assurance Level]])/4</f>
        <v>0.62250000000000005</v>
      </c>
      <c r="H164" s="29">
        <f t="shared" si="4"/>
        <v>0.5</v>
      </c>
      <c r="I164" s="29">
        <f t="shared" si="5"/>
        <v>1</v>
      </c>
      <c r="J164" s="29">
        <f t="shared" si="6"/>
        <v>1</v>
      </c>
      <c r="K164" s="51">
        <f>(Table39[[#This Row],[Diversity Linked to Exec Pay]]+Table39[[#This Row],[Board DEI Oversight]]+Table39[[#This Row],[Senior Management Target]])/3</f>
        <v>0.83333333333333337</v>
      </c>
      <c r="L164" s="51">
        <f>(Table39[[#This Row],[G1 Score]]+Table39[[#This Row],[G2 Score]])/2</f>
        <v>0.72791666666666677</v>
      </c>
    </row>
    <row r="165" spans="2:12" ht="16" x14ac:dyDescent="0.4">
      <c r="B165" s="2" t="s">
        <v>45</v>
      </c>
      <c r="C165">
        <f t="shared" si="10"/>
        <v>0.57999999999999996</v>
      </c>
      <c r="D165">
        <f t="shared" si="1"/>
        <v>0</v>
      </c>
      <c r="E165">
        <f t="shared" si="2"/>
        <v>0</v>
      </c>
      <c r="F165">
        <f t="shared" si="3"/>
        <v>0.5</v>
      </c>
      <c r="G165" s="51">
        <f>(Table39[[#This Row],[Sust. Report Page '# ]]+Table39[[#This Row],[CDP Score]]+Table39[[#This Row],[Climate KPI''s]]+Table39[[#This Row],[Assurance Level]])/4</f>
        <v>0.27</v>
      </c>
      <c r="H165" s="29">
        <f t="shared" si="4"/>
        <v>1</v>
      </c>
      <c r="I165" s="29">
        <f t="shared" si="5"/>
        <v>1</v>
      </c>
      <c r="J165" s="29">
        <f t="shared" si="6"/>
        <v>1</v>
      </c>
      <c r="K165" s="51">
        <f>(Table39[[#This Row],[Diversity Linked to Exec Pay]]+Table39[[#This Row],[Board DEI Oversight]]+Table39[[#This Row],[Senior Management Target]])/3</f>
        <v>1</v>
      </c>
      <c r="L165" s="51">
        <f>(Table39[[#This Row],[G1 Score]]+Table39[[#This Row],[G2 Score]])/2</f>
        <v>0.63500000000000001</v>
      </c>
    </row>
    <row r="166" spans="2:12" ht="16" x14ac:dyDescent="0.4">
      <c r="B166" s="2" t="s">
        <v>46</v>
      </c>
      <c r="C166">
        <f t="shared" si="10"/>
        <v>0.73</v>
      </c>
      <c r="D166">
        <f t="shared" si="1"/>
        <v>1</v>
      </c>
      <c r="E166">
        <f t="shared" si="2"/>
        <v>0</v>
      </c>
      <c r="F166">
        <f t="shared" si="3"/>
        <v>0</v>
      </c>
      <c r="G166" s="51">
        <f>(Table39[[#This Row],[Sust. Report Page '# ]]+Table39[[#This Row],[CDP Score]]+Table39[[#This Row],[Climate KPI''s]]+Table39[[#This Row],[Assurance Level]])/4</f>
        <v>0.4325</v>
      </c>
      <c r="H166" s="29">
        <f t="shared" si="4"/>
        <v>1</v>
      </c>
      <c r="I166" s="29">
        <f t="shared" si="5"/>
        <v>1</v>
      </c>
      <c r="J166" s="29">
        <f t="shared" si="6"/>
        <v>1</v>
      </c>
      <c r="K166" s="51">
        <f>(Table39[[#This Row],[Diversity Linked to Exec Pay]]+Table39[[#This Row],[Board DEI Oversight]]+Table39[[#This Row],[Senior Management Target]])/3</f>
        <v>1</v>
      </c>
      <c r="L166" s="51">
        <f>(Table39[[#This Row],[G1 Score]]+Table39[[#This Row],[G2 Score]])/2</f>
        <v>0.71625000000000005</v>
      </c>
    </row>
    <row r="167" spans="2:12" ht="16" x14ac:dyDescent="0.4">
      <c r="B167" s="2" t="s">
        <v>47</v>
      </c>
      <c r="C167">
        <f t="shared" si="10"/>
        <v>1.45</v>
      </c>
      <c r="D167">
        <f t="shared" si="1"/>
        <v>0.8</v>
      </c>
      <c r="E167">
        <f t="shared" si="2"/>
        <v>1</v>
      </c>
      <c r="F167">
        <f t="shared" si="3"/>
        <v>0.5</v>
      </c>
      <c r="G167" s="51">
        <f>(Table39[[#This Row],[Sust. Report Page '# ]]+Table39[[#This Row],[CDP Score]]+Table39[[#This Row],[Climate KPI''s]]+Table39[[#This Row],[Assurance Level]])/4</f>
        <v>0.9375</v>
      </c>
      <c r="H167" s="29">
        <f t="shared" si="4"/>
        <v>1</v>
      </c>
      <c r="I167" s="29">
        <f t="shared" si="5"/>
        <v>1</v>
      </c>
      <c r="J167" s="29">
        <f t="shared" si="6"/>
        <v>1</v>
      </c>
      <c r="K167" s="51">
        <f>(Table39[[#This Row],[Diversity Linked to Exec Pay]]+Table39[[#This Row],[Board DEI Oversight]]+Table39[[#This Row],[Senior Management Target]])/3</f>
        <v>1</v>
      </c>
      <c r="L167" s="51">
        <f>(Table39[[#This Row],[G1 Score]]+Table39[[#This Row],[G2 Score]])/2</f>
        <v>0.96875</v>
      </c>
    </row>
    <row r="168" spans="2:12" ht="16" x14ac:dyDescent="0.4">
      <c r="B168" s="2" t="s">
        <v>362</v>
      </c>
      <c r="C168">
        <f t="shared" si="10"/>
        <v>0.4</v>
      </c>
      <c r="D168">
        <f t="shared" si="1"/>
        <v>0.8</v>
      </c>
      <c r="E168">
        <f t="shared" si="2"/>
        <v>0</v>
      </c>
      <c r="F168">
        <f t="shared" si="3"/>
        <v>0.5</v>
      </c>
      <c r="G168" s="51">
        <f>(Table39[[#This Row],[Sust. Report Page '# ]]+Table39[[#This Row],[CDP Score]]+Table39[[#This Row],[Climate KPI''s]]+Table39[[#This Row],[Assurance Level]])/4</f>
        <v>0.42500000000000004</v>
      </c>
      <c r="H168" s="29">
        <f t="shared" si="4"/>
        <v>0.5</v>
      </c>
      <c r="I168" s="29">
        <f t="shared" si="5"/>
        <v>1</v>
      </c>
      <c r="J168" s="29">
        <f t="shared" si="6"/>
        <v>1</v>
      </c>
      <c r="K168" s="51">
        <f>(Table39[[#This Row],[Diversity Linked to Exec Pay]]+Table39[[#This Row],[Board DEI Oversight]]+Table39[[#This Row],[Senior Management Target]])/3</f>
        <v>0.83333333333333337</v>
      </c>
      <c r="L168" s="51">
        <f>(Table39[[#This Row],[G1 Score]]+Table39[[#This Row],[G2 Score]])/2</f>
        <v>0.62916666666666665</v>
      </c>
    </row>
    <row r="169" spans="2:12" ht="16" x14ac:dyDescent="0.4">
      <c r="B169" s="2" t="s">
        <v>367</v>
      </c>
      <c r="C169">
        <f t="shared" si="10"/>
        <v>0.59</v>
      </c>
      <c r="D169">
        <f t="shared" si="1"/>
        <v>0.8</v>
      </c>
      <c r="E169">
        <f t="shared" si="2"/>
        <v>1</v>
      </c>
      <c r="F169">
        <f t="shared" si="3"/>
        <v>0.5</v>
      </c>
      <c r="G169" s="51">
        <f>(Table39[[#This Row],[Sust. Report Page '# ]]+Table39[[#This Row],[CDP Score]]+Table39[[#This Row],[Climate KPI''s]]+Table39[[#This Row],[Assurance Level]])/4</f>
        <v>0.72250000000000003</v>
      </c>
      <c r="H169" s="29">
        <f t="shared" si="4"/>
        <v>1</v>
      </c>
      <c r="I169" s="29">
        <f t="shared" si="5"/>
        <v>1</v>
      </c>
      <c r="J169" s="29">
        <f t="shared" si="6"/>
        <v>1</v>
      </c>
      <c r="K169" s="51">
        <f>(Table39[[#This Row],[Diversity Linked to Exec Pay]]+Table39[[#This Row],[Board DEI Oversight]]+Table39[[#This Row],[Senior Management Target]])/3</f>
        <v>1</v>
      </c>
      <c r="L169" s="51">
        <f>(Table39[[#This Row],[G1 Score]]+Table39[[#This Row],[G2 Score]])/2</f>
        <v>0.86125000000000007</v>
      </c>
    </row>
    <row r="170" spans="2:12" ht="16" x14ac:dyDescent="0.4">
      <c r="B170" s="2" t="s">
        <v>48</v>
      </c>
      <c r="C170">
        <f t="shared" si="10"/>
        <v>0.33</v>
      </c>
      <c r="D170">
        <f t="shared" si="1"/>
        <v>0.4</v>
      </c>
      <c r="E170">
        <f t="shared" si="2"/>
        <v>0</v>
      </c>
      <c r="F170">
        <f t="shared" si="3"/>
        <v>0.5</v>
      </c>
      <c r="G170" s="51">
        <f>(Table39[[#This Row],[Sust. Report Page '# ]]+Table39[[#This Row],[CDP Score]]+Table39[[#This Row],[Climate KPI''s]]+Table39[[#This Row],[Assurance Level]])/4</f>
        <v>0.3075</v>
      </c>
      <c r="H170" s="29">
        <f t="shared" si="4"/>
        <v>0.5</v>
      </c>
      <c r="I170" s="29">
        <f t="shared" si="5"/>
        <v>1</v>
      </c>
      <c r="J170" s="29">
        <f t="shared" si="6"/>
        <v>0</v>
      </c>
      <c r="K170" s="51">
        <f>(Table39[[#This Row],[Diversity Linked to Exec Pay]]+Table39[[#This Row],[Board DEI Oversight]]+Table39[[#This Row],[Senior Management Target]])/3</f>
        <v>0.5</v>
      </c>
      <c r="L170" s="51">
        <f>(Table39[[#This Row],[G1 Score]]+Table39[[#This Row],[G2 Score]])/2</f>
        <v>0.40375</v>
      </c>
    </row>
    <row r="171" spans="2:12" ht="16" x14ac:dyDescent="0.4">
      <c r="B171" s="2" t="s">
        <v>49</v>
      </c>
      <c r="C171">
        <f t="shared" si="10"/>
        <v>0.59</v>
      </c>
      <c r="D171">
        <f t="shared" si="1"/>
        <v>0.6</v>
      </c>
      <c r="E171">
        <f t="shared" si="2"/>
        <v>0</v>
      </c>
      <c r="F171">
        <f t="shared" si="3"/>
        <v>0.5</v>
      </c>
      <c r="G171" s="51">
        <f>(Table39[[#This Row],[Sust. Report Page '# ]]+Table39[[#This Row],[CDP Score]]+Table39[[#This Row],[Climate KPI''s]]+Table39[[#This Row],[Assurance Level]])/4</f>
        <v>0.42249999999999999</v>
      </c>
      <c r="H171" s="29">
        <f t="shared" si="4"/>
        <v>0</v>
      </c>
      <c r="I171" s="29">
        <f t="shared" si="5"/>
        <v>1</v>
      </c>
      <c r="J171" s="29">
        <f t="shared" si="6"/>
        <v>1</v>
      </c>
      <c r="K171" s="51">
        <f>(Table39[[#This Row],[Diversity Linked to Exec Pay]]+Table39[[#This Row],[Board DEI Oversight]]+Table39[[#This Row],[Senior Management Target]])/3</f>
        <v>0.66666666666666663</v>
      </c>
      <c r="L171" s="51">
        <f>(Table39[[#This Row],[G1 Score]]+Table39[[#This Row],[G2 Score]])/2</f>
        <v>0.54458333333333331</v>
      </c>
    </row>
    <row r="172" spans="2:12" ht="16" x14ac:dyDescent="0.4">
      <c r="B172" s="2" t="s">
        <v>50</v>
      </c>
      <c r="C172">
        <f t="shared" si="10"/>
        <v>0.86</v>
      </c>
      <c r="D172">
        <f t="shared" si="1"/>
        <v>0.6</v>
      </c>
      <c r="E172">
        <f t="shared" si="2"/>
        <v>1</v>
      </c>
      <c r="F172">
        <f t="shared" si="3"/>
        <v>0</v>
      </c>
      <c r="G172" s="51">
        <f>(Table39[[#This Row],[Sust. Report Page '# ]]+Table39[[#This Row],[CDP Score]]+Table39[[#This Row],[Climate KPI''s]]+Table39[[#This Row],[Assurance Level]])/4</f>
        <v>0.61499999999999999</v>
      </c>
      <c r="H172" s="29">
        <f t="shared" si="4"/>
        <v>0</v>
      </c>
      <c r="I172" s="29">
        <f t="shared" si="5"/>
        <v>1</v>
      </c>
      <c r="J172" s="29">
        <f t="shared" si="6"/>
        <v>1</v>
      </c>
      <c r="K172" s="51">
        <f>(Table39[[#This Row],[Diversity Linked to Exec Pay]]+Table39[[#This Row],[Board DEI Oversight]]+Table39[[#This Row],[Senior Management Target]])/3</f>
        <v>0.66666666666666663</v>
      </c>
      <c r="L172" s="51">
        <f>(Table39[[#This Row],[G1 Score]]+Table39[[#This Row],[G2 Score]])/2</f>
        <v>0.64083333333333337</v>
      </c>
    </row>
    <row r="173" spans="2:12" ht="16" x14ac:dyDescent="0.4">
      <c r="B173" s="2" t="s">
        <v>51</v>
      </c>
      <c r="C173">
        <f t="shared" si="10"/>
        <v>1.0900000000000001</v>
      </c>
      <c r="D173">
        <f t="shared" ref="D173:D208" si="11">IF(D69="",0,IF(D69="A",1,IF(D69="A-",0.8,IF(D69="B",0.6,IF(D69="C",0.4,IF(D69="D",0.2,IF(D69="F",0,IF(D69="N/A",0))))))))</f>
        <v>0.8</v>
      </c>
      <c r="E173">
        <f t="shared" ref="E173:E208" si="12">IF(E69="",0,IF(E69="N/A",0,IF(E69="No",0,IF(E69="Yes",1))))</f>
        <v>1</v>
      </c>
      <c r="F173">
        <f t="shared" ref="F173:F208" si="13">IF(F69="",0,IF(F69="Reasonable",1,IF(F69="Limited",0.5,IF(F69="None",0))))</f>
        <v>0.5</v>
      </c>
      <c r="G173" s="51">
        <f>(Table39[[#This Row],[Sust. Report Page '# ]]+Table39[[#This Row],[CDP Score]]+Table39[[#This Row],[Climate KPI''s]]+Table39[[#This Row],[Assurance Level]])/4</f>
        <v>0.84750000000000003</v>
      </c>
      <c r="H173" s="29">
        <f t="shared" ref="H173:H208" si="14">IF(H69="Not Linked",0,IF(H69="Partially Linked",0.5,IF(H69="Linked",1)))</f>
        <v>0.5</v>
      </c>
      <c r="I173" s="29">
        <f t="shared" ref="I173:I208" si="15">IF(I69="No",0,IF(I69="Yes",1))</f>
        <v>1</v>
      </c>
      <c r="J173" s="29">
        <f t="shared" ref="J173:J208" si="16">IF(J69="",0,IF(J69="No",0,IF(J69="Yes",1)))</f>
        <v>0</v>
      </c>
      <c r="K173" s="51">
        <f>(Table39[[#This Row],[Diversity Linked to Exec Pay]]+Table39[[#This Row],[Board DEI Oversight]]+Table39[[#This Row],[Senior Management Target]])/3</f>
        <v>0.5</v>
      </c>
      <c r="L173" s="51">
        <f>(Table39[[#This Row],[G1 Score]]+Table39[[#This Row],[G2 Score]])/2</f>
        <v>0.67375000000000007</v>
      </c>
    </row>
    <row r="174" spans="2:12" ht="16" x14ac:dyDescent="0.4">
      <c r="B174" s="2" t="s">
        <v>52</v>
      </c>
      <c r="C174">
        <f t="shared" si="10"/>
        <v>0.08</v>
      </c>
      <c r="D174">
        <f t="shared" si="11"/>
        <v>0.8</v>
      </c>
      <c r="E174">
        <f t="shared" si="12"/>
        <v>1</v>
      </c>
      <c r="F174">
        <f t="shared" si="13"/>
        <v>0.5</v>
      </c>
      <c r="G174" s="51">
        <f>(Table39[[#This Row],[Sust. Report Page '# ]]+Table39[[#This Row],[CDP Score]]+Table39[[#This Row],[Climate KPI''s]]+Table39[[#This Row],[Assurance Level]])/4</f>
        <v>0.59499999999999997</v>
      </c>
      <c r="H174" s="29">
        <f t="shared" si="14"/>
        <v>1</v>
      </c>
      <c r="I174" s="29">
        <f t="shared" si="15"/>
        <v>1</v>
      </c>
      <c r="J174" s="29">
        <f t="shared" si="16"/>
        <v>0</v>
      </c>
      <c r="K174" s="51">
        <f>(Table39[[#This Row],[Diversity Linked to Exec Pay]]+Table39[[#This Row],[Board DEI Oversight]]+Table39[[#This Row],[Senior Management Target]])/3</f>
        <v>0.66666666666666663</v>
      </c>
      <c r="L174" s="51">
        <f>(Table39[[#This Row],[G1 Score]]+Table39[[#This Row],[G2 Score]])/2</f>
        <v>0.63083333333333336</v>
      </c>
    </row>
    <row r="175" spans="2:12" ht="16" x14ac:dyDescent="0.4">
      <c r="B175" s="2" t="s">
        <v>53</v>
      </c>
      <c r="C175">
        <f t="shared" si="10"/>
        <v>0.99</v>
      </c>
      <c r="D175">
        <f t="shared" si="11"/>
        <v>1</v>
      </c>
      <c r="E175">
        <f t="shared" si="12"/>
        <v>0</v>
      </c>
      <c r="F175">
        <f t="shared" si="13"/>
        <v>0</v>
      </c>
      <c r="G175" s="51">
        <f>(Table39[[#This Row],[Sust. Report Page '# ]]+Table39[[#This Row],[CDP Score]]+Table39[[#This Row],[Climate KPI''s]]+Table39[[#This Row],[Assurance Level]])/4</f>
        <v>0.4975</v>
      </c>
      <c r="H175" s="29">
        <f t="shared" si="14"/>
        <v>0.5</v>
      </c>
      <c r="I175" s="29">
        <f t="shared" si="15"/>
        <v>1</v>
      </c>
      <c r="J175" s="29">
        <f t="shared" si="16"/>
        <v>0</v>
      </c>
      <c r="K175" s="51">
        <f>(Table39[[#This Row],[Diversity Linked to Exec Pay]]+Table39[[#This Row],[Board DEI Oversight]]+Table39[[#This Row],[Senior Management Target]])/3</f>
        <v>0.5</v>
      </c>
      <c r="L175" s="51">
        <f>(Table39[[#This Row],[G1 Score]]+Table39[[#This Row],[G2 Score]])/2</f>
        <v>0.49875000000000003</v>
      </c>
    </row>
    <row r="176" spans="2:12" ht="16" x14ac:dyDescent="0.4">
      <c r="B176" s="2" t="s">
        <v>398</v>
      </c>
      <c r="C176">
        <f t="shared" si="10"/>
        <v>0.57999999999999996</v>
      </c>
      <c r="D176">
        <f t="shared" si="11"/>
        <v>0</v>
      </c>
      <c r="E176">
        <f t="shared" si="12"/>
        <v>0</v>
      </c>
      <c r="F176">
        <f t="shared" si="13"/>
        <v>0</v>
      </c>
      <c r="G176" s="51">
        <f>(Table39[[#This Row],[Sust. Report Page '# ]]+Table39[[#This Row],[CDP Score]]+Table39[[#This Row],[Climate KPI''s]]+Table39[[#This Row],[Assurance Level]])/4</f>
        <v>0.14499999999999999</v>
      </c>
      <c r="H176" s="29">
        <f t="shared" si="14"/>
        <v>0</v>
      </c>
      <c r="I176" s="29">
        <f t="shared" si="15"/>
        <v>1</v>
      </c>
      <c r="J176" s="29">
        <f t="shared" si="16"/>
        <v>0</v>
      </c>
      <c r="K176" s="51">
        <f>(Table39[[#This Row],[Diversity Linked to Exec Pay]]+Table39[[#This Row],[Board DEI Oversight]]+Table39[[#This Row],[Senior Management Target]])/3</f>
        <v>0.33333333333333331</v>
      </c>
      <c r="L176" s="51">
        <f>(Table39[[#This Row],[G1 Score]]+Table39[[#This Row],[G2 Score]])/2</f>
        <v>0.23916666666666664</v>
      </c>
    </row>
    <row r="177" spans="2:12" ht="16" x14ac:dyDescent="0.4">
      <c r="B177" s="2" t="s">
        <v>54</v>
      </c>
      <c r="C177">
        <f t="shared" si="10"/>
        <v>0.16</v>
      </c>
      <c r="D177">
        <f t="shared" si="11"/>
        <v>0.8</v>
      </c>
      <c r="E177">
        <f t="shared" si="12"/>
        <v>0</v>
      </c>
      <c r="F177">
        <f t="shared" si="13"/>
        <v>0.5</v>
      </c>
      <c r="G177" s="51">
        <f>(Table39[[#This Row],[Sust. Report Page '# ]]+Table39[[#This Row],[CDP Score]]+Table39[[#This Row],[Climate KPI''s]]+Table39[[#This Row],[Assurance Level]])/4</f>
        <v>0.36499999999999999</v>
      </c>
      <c r="H177" s="29">
        <f t="shared" si="14"/>
        <v>1</v>
      </c>
      <c r="I177" s="29">
        <f t="shared" si="15"/>
        <v>1</v>
      </c>
      <c r="J177" s="29">
        <f t="shared" si="16"/>
        <v>1</v>
      </c>
      <c r="K177" s="51">
        <f>(Table39[[#This Row],[Diversity Linked to Exec Pay]]+Table39[[#This Row],[Board DEI Oversight]]+Table39[[#This Row],[Senior Management Target]])/3</f>
        <v>1</v>
      </c>
      <c r="L177" s="51">
        <f>(Table39[[#This Row],[G1 Score]]+Table39[[#This Row],[G2 Score]])/2</f>
        <v>0.6825</v>
      </c>
    </row>
    <row r="178" spans="2:12" ht="16" x14ac:dyDescent="0.4">
      <c r="B178" s="2" t="s">
        <v>56</v>
      </c>
      <c r="C178">
        <f t="shared" si="10"/>
        <v>2</v>
      </c>
      <c r="D178">
        <f t="shared" si="11"/>
        <v>0.8</v>
      </c>
      <c r="E178">
        <f t="shared" si="12"/>
        <v>0</v>
      </c>
      <c r="F178">
        <f t="shared" si="13"/>
        <v>0.5</v>
      </c>
      <c r="G178" s="51">
        <f>(Table39[[#This Row],[Sust. Report Page '# ]]+Table39[[#This Row],[CDP Score]]+Table39[[#This Row],[Climate KPI''s]]+Table39[[#This Row],[Assurance Level]])/4</f>
        <v>0.82499999999999996</v>
      </c>
      <c r="H178" s="29">
        <f t="shared" si="14"/>
        <v>0</v>
      </c>
      <c r="I178" s="29">
        <f t="shared" si="15"/>
        <v>1</v>
      </c>
      <c r="J178" s="29">
        <f t="shared" si="16"/>
        <v>1</v>
      </c>
      <c r="K178" s="51">
        <f>(Table39[[#This Row],[Diversity Linked to Exec Pay]]+Table39[[#This Row],[Board DEI Oversight]]+Table39[[#This Row],[Senior Management Target]])/3</f>
        <v>0.66666666666666663</v>
      </c>
      <c r="L178" s="51">
        <f>(Table39[[#This Row],[G1 Score]]+Table39[[#This Row],[G2 Score]])/2</f>
        <v>0.74583333333333335</v>
      </c>
    </row>
    <row r="179" spans="2:12" ht="16" x14ac:dyDescent="0.4">
      <c r="B179" s="2" t="s">
        <v>57</v>
      </c>
      <c r="C179">
        <f t="shared" si="10"/>
        <v>0.05</v>
      </c>
      <c r="D179">
        <f t="shared" si="11"/>
        <v>0</v>
      </c>
      <c r="E179">
        <f t="shared" si="12"/>
        <v>0</v>
      </c>
      <c r="F179">
        <f t="shared" si="13"/>
        <v>0.5</v>
      </c>
      <c r="G179" s="51">
        <f>(Table39[[#This Row],[Sust. Report Page '# ]]+Table39[[#This Row],[CDP Score]]+Table39[[#This Row],[Climate KPI''s]]+Table39[[#This Row],[Assurance Level]])/4</f>
        <v>0.13750000000000001</v>
      </c>
      <c r="H179" s="29">
        <f t="shared" si="14"/>
        <v>1</v>
      </c>
      <c r="I179" s="29">
        <f t="shared" si="15"/>
        <v>1</v>
      </c>
      <c r="J179" s="29">
        <f t="shared" si="16"/>
        <v>1</v>
      </c>
      <c r="K179" s="51">
        <f>(Table39[[#This Row],[Diversity Linked to Exec Pay]]+Table39[[#This Row],[Board DEI Oversight]]+Table39[[#This Row],[Senior Management Target]])/3</f>
        <v>1</v>
      </c>
      <c r="L179" s="51">
        <f>(Table39[[#This Row],[G1 Score]]+Table39[[#This Row],[G2 Score]])/2</f>
        <v>0.56874999999999998</v>
      </c>
    </row>
    <row r="180" spans="2:12" ht="16" x14ac:dyDescent="0.4">
      <c r="B180" s="2" t="s">
        <v>58</v>
      </c>
      <c r="C180">
        <f t="shared" si="10"/>
        <v>0.87</v>
      </c>
      <c r="D180">
        <f t="shared" si="11"/>
        <v>0.8</v>
      </c>
      <c r="E180">
        <f t="shared" si="12"/>
        <v>1</v>
      </c>
      <c r="F180">
        <f t="shared" si="13"/>
        <v>0.5</v>
      </c>
      <c r="G180" s="51">
        <f>(Table39[[#This Row],[Sust. Report Page '# ]]+Table39[[#This Row],[CDP Score]]+Table39[[#This Row],[Climate KPI''s]]+Table39[[#This Row],[Assurance Level]])/4</f>
        <v>0.79249999999999998</v>
      </c>
      <c r="H180" s="29">
        <f t="shared" si="14"/>
        <v>0</v>
      </c>
      <c r="I180" s="29">
        <f t="shared" si="15"/>
        <v>1</v>
      </c>
      <c r="J180" s="29">
        <f t="shared" si="16"/>
        <v>0</v>
      </c>
      <c r="K180" s="51">
        <f>(Table39[[#This Row],[Diversity Linked to Exec Pay]]+Table39[[#This Row],[Board DEI Oversight]]+Table39[[#This Row],[Senior Management Target]])/3</f>
        <v>0.33333333333333331</v>
      </c>
      <c r="L180" s="51">
        <f>(Table39[[#This Row],[G1 Score]]+Table39[[#This Row],[G2 Score]])/2</f>
        <v>0.56291666666666662</v>
      </c>
    </row>
    <row r="181" spans="2:12" ht="16" x14ac:dyDescent="0.4">
      <c r="B181" s="2" t="s">
        <v>59</v>
      </c>
      <c r="C181">
        <f t="shared" si="10"/>
        <v>0.68</v>
      </c>
      <c r="D181">
        <f t="shared" si="11"/>
        <v>1</v>
      </c>
      <c r="E181">
        <f t="shared" si="12"/>
        <v>0</v>
      </c>
      <c r="F181">
        <f t="shared" si="13"/>
        <v>0.5</v>
      </c>
      <c r="G181" s="51">
        <f>(Table39[[#This Row],[Sust. Report Page '# ]]+Table39[[#This Row],[CDP Score]]+Table39[[#This Row],[Climate KPI''s]]+Table39[[#This Row],[Assurance Level]])/4</f>
        <v>0.54500000000000004</v>
      </c>
      <c r="H181" s="29">
        <f t="shared" si="14"/>
        <v>1</v>
      </c>
      <c r="I181" s="29">
        <f t="shared" si="15"/>
        <v>1</v>
      </c>
      <c r="J181" s="29">
        <f t="shared" si="16"/>
        <v>0</v>
      </c>
      <c r="K181" s="51">
        <f>(Table39[[#This Row],[Diversity Linked to Exec Pay]]+Table39[[#This Row],[Board DEI Oversight]]+Table39[[#This Row],[Senior Management Target]])/3</f>
        <v>0.66666666666666663</v>
      </c>
      <c r="L181" s="51">
        <f>(Table39[[#This Row],[G1 Score]]+Table39[[#This Row],[G2 Score]])/2</f>
        <v>0.60583333333333333</v>
      </c>
    </row>
    <row r="182" spans="2:12" ht="16" x14ac:dyDescent="0.4">
      <c r="B182" s="2" t="s">
        <v>60</v>
      </c>
      <c r="C182">
        <f t="shared" si="10"/>
        <v>0.37</v>
      </c>
      <c r="D182">
        <f t="shared" si="11"/>
        <v>0.6</v>
      </c>
      <c r="E182">
        <f t="shared" si="12"/>
        <v>0</v>
      </c>
      <c r="F182">
        <f t="shared" si="13"/>
        <v>0.5</v>
      </c>
      <c r="G182" s="51">
        <f>(Table39[[#This Row],[Sust. Report Page '# ]]+Table39[[#This Row],[CDP Score]]+Table39[[#This Row],[Climate KPI''s]]+Table39[[#This Row],[Assurance Level]])/4</f>
        <v>0.36749999999999999</v>
      </c>
      <c r="H182" s="29">
        <f t="shared" si="14"/>
        <v>1</v>
      </c>
      <c r="I182" s="29">
        <f t="shared" si="15"/>
        <v>1</v>
      </c>
      <c r="J182" s="29">
        <f t="shared" si="16"/>
        <v>0</v>
      </c>
      <c r="K182" s="51">
        <f>(Table39[[#This Row],[Diversity Linked to Exec Pay]]+Table39[[#This Row],[Board DEI Oversight]]+Table39[[#This Row],[Senior Management Target]])/3</f>
        <v>0.66666666666666663</v>
      </c>
      <c r="L182" s="51">
        <f>(Table39[[#This Row],[G1 Score]]+Table39[[#This Row],[G2 Score]])/2</f>
        <v>0.51708333333333334</v>
      </c>
    </row>
    <row r="183" spans="2:12" ht="16" x14ac:dyDescent="0.4">
      <c r="B183" s="2" t="s">
        <v>61</v>
      </c>
      <c r="C183">
        <f t="shared" si="10"/>
        <v>0.76</v>
      </c>
      <c r="D183">
        <f t="shared" si="11"/>
        <v>0</v>
      </c>
      <c r="E183">
        <f t="shared" si="12"/>
        <v>0</v>
      </c>
      <c r="F183">
        <f t="shared" si="13"/>
        <v>0</v>
      </c>
      <c r="G183" s="51">
        <f>(Table39[[#This Row],[Sust. Report Page '# ]]+Table39[[#This Row],[CDP Score]]+Table39[[#This Row],[Climate KPI''s]]+Table39[[#This Row],[Assurance Level]])/4</f>
        <v>0.19</v>
      </c>
      <c r="H183" s="29">
        <f t="shared" si="14"/>
        <v>0.5</v>
      </c>
      <c r="I183" s="29">
        <f t="shared" si="15"/>
        <v>1</v>
      </c>
      <c r="J183" s="29">
        <f t="shared" si="16"/>
        <v>0</v>
      </c>
      <c r="K183" s="51">
        <f>(Table39[[#This Row],[Diversity Linked to Exec Pay]]+Table39[[#This Row],[Board DEI Oversight]]+Table39[[#This Row],[Senior Management Target]])/3</f>
        <v>0.5</v>
      </c>
      <c r="L183" s="51">
        <f>(Table39[[#This Row],[G1 Score]]+Table39[[#This Row],[G2 Score]])/2</f>
        <v>0.34499999999999997</v>
      </c>
    </row>
    <row r="184" spans="2:12" ht="16" x14ac:dyDescent="0.4">
      <c r="B184" s="2" t="s">
        <v>62</v>
      </c>
      <c r="C184">
        <f t="shared" si="10"/>
        <v>0.19</v>
      </c>
      <c r="D184">
        <f t="shared" si="11"/>
        <v>0</v>
      </c>
      <c r="E184">
        <f t="shared" si="12"/>
        <v>0</v>
      </c>
      <c r="F184">
        <f t="shared" si="13"/>
        <v>0</v>
      </c>
      <c r="G184" s="51">
        <f>(Table39[[#This Row],[Sust. Report Page '# ]]+Table39[[#This Row],[CDP Score]]+Table39[[#This Row],[Climate KPI''s]]+Table39[[#This Row],[Assurance Level]])/4</f>
        <v>4.7500000000000001E-2</v>
      </c>
      <c r="H184" s="29">
        <f t="shared" si="14"/>
        <v>0.5</v>
      </c>
      <c r="I184" s="29">
        <f t="shared" si="15"/>
        <v>1</v>
      </c>
      <c r="J184" s="29">
        <f t="shared" si="16"/>
        <v>0</v>
      </c>
      <c r="K184" s="51">
        <f>(Table39[[#This Row],[Diversity Linked to Exec Pay]]+Table39[[#This Row],[Board DEI Oversight]]+Table39[[#This Row],[Senior Management Target]])/3</f>
        <v>0.5</v>
      </c>
      <c r="L184" s="51">
        <f>(Table39[[#This Row],[G1 Score]]+Table39[[#This Row],[G2 Score]])/2</f>
        <v>0.27374999999999999</v>
      </c>
    </row>
    <row r="185" spans="2:12" ht="16" x14ac:dyDescent="0.4">
      <c r="B185" s="2" t="s">
        <v>439</v>
      </c>
      <c r="C185">
        <f t="shared" si="10"/>
        <v>0.14000000000000001</v>
      </c>
      <c r="D185">
        <f t="shared" si="11"/>
        <v>0</v>
      </c>
      <c r="E185">
        <f t="shared" si="12"/>
        <v>0</v>
      </c>
      <c r="F185">
        <f t="shared" si="13"/>
        <v>0.5</v>
      </c>
      <c r="G185" s="51">
        <f>(Table39[[#This Row],[Sust. Report Page '# ]]+Table39[[#This Row],[CDP Score]]+Table39[[#This Row],[Climate KPI''s]]+Table39[[#This Row],[Assurance Level]])/4</f>
        <v>0.16</v>
      </c>
      <c r="H185" s="29">
        <f t="shared" si="14"/>
        <v>0.5</v>
      </c>
      <c r="I185" s="29">
        <f t="shared" si="15"/>
        <v>1</v>
      </c>
      <c r="J185" s="29">
        <f t="shared" si="16"/>
        <v>1</v>
      </c>
      <c r="K185" s="51">
        <f>(Table39[[#This Row],[Diversity Linked to Exec Pay]]+Table39[[#This Row],[Board DEI Oversight]]+Table39[[#This Row],[Senior Management Target]])/3</f>
        <v>0.83333333333333337</v>
      </c>
      <c r="L185" s="51">
        <f>(Table39[[#This Row],[G1 Score]]+Table39[[#This Row],[G2 Score]])/2</f>
        <v>0.4966666666666667</v>
      </c>
    </row>
    <row r="186" spans="2:12" ht="16" x14ac:dyDescent="0.4">
      <c r="B186" s="2" t="s">
        <v>63</v>
      </c>
      <c r="C186">
        <f t="shared" si="10"/>
        <v>0.01</v>
      </c>
      <c r="D186">
        <f t="shared" si="11"/>
        <v>0.4</v>
      </c>
      <c r="E186">
        <f t="shared" si="12"/>
        <v>1</v>
      </c>
      <c r="F186">
        <f t="shared" si="13"/>
        <v>0.5</v>
      </c>
      <c r="G186" s="51">
        <f>(Table39[[#This Row],[Sust. Report Page '# ]]+Table39[[#This Row],[CDP Score]]+Table39[[#This Row],[Climate KPI''s]]+Table39[[#This Row],[Assurance Level]])/4</f>
        <v>0.47750000000000004</v>
      </c>
      <c r="H186" s="29">
        <f t="shared" si="14"/>
        <v>0.5</v>
      </c>
      <c r="I186" s="29">
        <f t="shared" si="15"/>
        <v>1</v>
      </c>
      <c r="J186" s="29">
        <f t="shared" si="16"/>
        <v>0</v>
      </c>
      <c r="K186" s="51">
        <f>(Table39[[#This Row],[Diversity Linked to Exec Pay]]+Table39[[#This Row],[Board DEI Oversight]]+Table39[[#This Row],[Senior Management Target]])/3</f>
        <v>0.5</v>
      </c>
      <c r="L186" s="51">
        <f>(Table39[[#This Row],[G1 Score]]+Table39[[#This Row],[G2 Score]])/2</f>
        <v>0.48875000000000002</v>
      </c>
    </row>
    <row r="187" spans="2:12" ht="16" x14ac:dyDescent="0.4">
      <c r="B187" s="2" t="s">
        <v>448</v>
      </c>
      <c r="C187">
        <f t="shared" si="10"/>
        <v>0.36</v>
      </c>
      <c r="D187">
        <f t="shared" si="11"/>
        <v>1</v>
      </c>
      <c r="E187">
        <f t="shared" si="12"/>
        <v>0</v>
      </c>
      <c r="F187">
        <f t="shared" si="13"/>
        <v>0.5</v>
      </c>
      <c r="G187" s="51">
        <f>(Table39[[#This Row],[Sust. Report Page '# ]]+Table39[[#This Row],[CDP Score]]+Table39[[#This Row],[Climate KPI''s]]+Table39[[#This Row],[Assurance Level]])/4</f>
        <v>0.46499999999999997</v>
      </c>
      <c r="H187" s="29">
        <f t="shared" si="14"/>
        <v>1</v>
      </c>
      <c r="I187" s="29">
        <f t="shared" si="15"/>
        <v>1</v>
      </c>
      <c r="J187" s="29">
        <f t="shared" si="16"/>
        <v>0</v>
      </c>
      <c r="K187" s="51">
        <f>(Table39[[#This Row],[Diversity Linked to Exec Pay]]+Table39[[#This Row],[Board DEI Oversight]]+Table39[[#This Row],[Senior Management Target]])/3</f>
        <v>0.66666666666666663</v>
      </c>
      <c r="L187" s="51">
        <f>(Table39[[#This Row],[G1 Score]]+Table39[[#This Row],[G2 Score]])/2</f>
        <v>0.5658333333333333</v>
      </c>
    </row>
    <row r="188" spans="2:12" ht="16" x14ac:dyDescent="0.4">
      <c r="B188" s="2" t="s">
        <v>454</v>
      </c>
      <c r="C188">
        <f t="shared" si="10"/>
        <v>0.4</v>
      </c>
      <c r="D188">
        <f t="shared" si="11"/>
        <v>1</v>
      </c>
      <c r="E188">
        <f t="shared" si="12"/>
        <v>1</v>
      </c>
      <c r="F188">
        <f t="shared" si="13"/>
        <v>0.5</v>
      </c>
      <c r="G188" s="51">
        <f>(Table39[[#This Row],[Sust. Report Page '# ]]+Table39[[#This Row],[CDP Score]]+Table39[[#This Row],[Climate KPI''s]]+Table39[[#This Row],[Assurance Level]])/4</f>
        <v>0.72499999999999998</v>
      </c>
      <c r="H188" s="29">
        <f t="shared" si="14"/>
        <v>0.5</v>
      </c>
      <c r="I188" s="29">
        <f t="shared" si="15"/>
        <v>1</v>
      </c>
      <c r="J188" s="29">
        <f t="shared" si="16"/>
        <v>1</v>
      </c>
      <c r="K188" s="51">
        <f>(Table39[[#This Row],[Diversity Linked to Exec Pay]]+Table39[[#This Row],[Board DEI Oversight]]+Table39[[#This Row],[Senior Management Target]])/3</f>
        <v>0.83333333333333337</v>
      </c>
      <c r="L188" s="51">
        <f>(Table39[[#This Row],[G1 Score]]+Table39[[#This Row],[G2 Score]])/2</f>
        <v>0.77916666666666667</v>
      </c>
    </row>
    <row r="189" spans="2:12" ht="16" x14ac:dyDescent="0.4">
      <c r="B189" s="2" t="s">
        <v>459</v>
      </c>
      <c r="C189">
        <f t="shared" si="10"/>
        <v>0.72</v>
      </c>
      <c r="D189">
        <f t="shared" si="11"/>
        <v>1</v>
      </c>
      <c r="E189">
        <f t="shared" si="12"/>
        <v>0</v>
      </c>
      <c r="F189">
        <f t="shared" si="13"/>
        <v>0</v>
      </c>
      <c r="G189" s="51">
        <f>(Table39[[#This Row],[Sust. Report Page '# ]]+Table39[[#This Row],[CDP Score]]+Table39[[#This Row],[Climate KPI''s]]+Table39[[#This Row],[Assurance Level]])/4</f>
        <v>0.43</v>
      </c>
      <c r="H189" s="29">
        <f t="shared" si="14"/>
        <v>0.5</v>
      </c>
      <c r="I189" s="29">
        <f t="shared" si="15"/>
        <v>1</v>
      </c>
      <c r="J189" s="29">
        <f t="shared" si="16"/>
        <v>0</v>
      </c>
      <c r="K189" s="51">
        <f>(Table39[[#This Row],[Diversity Linked to Exec Pay]]+Table39[[#This Row],[Board DEI Oversight]]+Table39[[#This Row],[Senior Management Target]])/3</f>
        <v>0.5</v>
      </c>
      <c r="L189" s="51">
        <f>(Table39[[#This Row],[G1 Score]]+Table39[[#This Row],[G2 Score]])/2</f>
        <v>0.46499999999999997</v>
      </c>
    </row>
    <row r="190" spans="2:12" ht="16" x14ac:dyDescent="0.4">
      <c r="B190" s="2" t="s">
        <v>64</v>
      </c>
      <c r="C190">
        <f t="shared" si="10"/>
        <v>0.14000000000000001</v>
      </c>
      <c r="D190">
        <f t="shared" si="11"/>
        <v>0</v>
      </c>
      <c r="E190">
        <f t="shared" si="12"/>
        <v>0</v>
      </c>
      <c r="F190">
        <f t="shared" si="13"/>
        <v>0</v>
      </c>
      <c r="G190" s="51">
        <f>(Table39[[#This Row],[Sust. Report Page '# ]]+Table39[[#This Row],[CDP Score]]+Table39[[#This Row],[Climate KPI''s]]+Table39[[#This Row],[Assurance Level]])/4</f>
        <v>3.5000000000000003E-2</v>
      </c>
      <c r="H190" s="29">
        <f t="shared" si="14"/>
        <v>0</v>
      </c>
      <c r="I190" s="29">
        <f t="shared" si="15"/>
        <v>1</v>
      </c>
      <c r="J190" s="29">
        <f t="shared" si="16"/>
        <v>0</v>
      </c>
      <c r="K190" s="51">
        <f>(Table39[[#This Row],[Diversity Linked to Exec Pay]]+Table39[[#This Row],[Board DEI Oversight]]+Table39[[#This Row],[Senior Management Target]])/3</f>
        <v>0.33333333333333331</v>
      </c>
      <c r="L190" s="51">
        <f>(Table39[[#This Row],[G1 Score]]+Table39[[#This Row],[G2 Score]])/2</f>
        <v>0.18416666666666665</v>
      </c>
    </row>
    <row r="191" spans="2:12" ht="16" x14ac:dyDescent="0.4">
      <c r="B191" s="2" t="s">
        <v>65</v>
      </c>
      <c r="C191">
        <f t="shared" si="10"/>
        <v>0.73</v>
      </c>
      <c r="D191">
        <f t="shared" si="11"/>
        <v>1</v>
      </c>
      <c r="E191">
        <f t="shared" si="12"/>
        <v>0</v>
      </c>
      <c r="F191">
        <f t="shared" si="13"/>
        <v>0.5</v>
      </c>
      <c r="G191" s="51">
        <f>(Table39[[#This Row],[Sust. Report Page '# ]]+Table39[[#This Row],[CDP Score]]+Table39[[#This Row],[Climate KPI''s]]+Table39[[#This Row],[Assurance Level]])/4</f>
        <v>0.5575</v>
      </c>
      <c r="H191" s="29">
        <f t="shared" si="14"/>
        <v>0.5</v>
      </c>
      <c r="I191" s="29">
        <f t="shared" si="15"/>
        <v>1</v>
      </c>
      <c r="J191" s="29">
        <f t="shared" si="16"/>
        <v>1</v>
      </c>
      <c r="K191" s="51">
        <f>(Table39[[#This Row],[Diversity Linked to Exec Pay]]+Table39[[#This Row],[Board DEI Oversight]]+Table39[[#This Row],[Senior Management Target]])/3</f>
        <v>0.83333333333333337</v>
      </c>
      <c r="L191" s="51">
        <f>(Table39[[#This Row],[G1 Score]]+Table39[[#This Row],[G2 Score]])/2</f>
        <v>0.69541666666666668</v>
      </c>
    </row>
    <row r="192" spans="2:12" ht="16" x14ac:dyDescent="0.4">
      <c r="B192" s="2" t="s">
        <v>66</v>
      </c>
      <c r="C192">
        <f t="shared" si="10"/>
        <v>0.23</v>
      </c>
      <c r="D192">
        <f t="shared" si="11"/>
        <v>1</v>
      </c>
      <c r="E192">
        <f t="shared" si="12"/>
        <v>1</v>
      </c>
      <c r="F192">
        <f t="shared" si="13"/>
        <v>0</v>
      </c>
      <c r="G192" s="51">
        <f>(Table39[[#This Row],[Sust. Report Page '# ]]+Table39[[#This Row],[CDP Score]]+Table39[[#This Row],[Climate KPI''s]]+Table39[[#This Row],[Assurance Level]])/4</f>
        <v>0.5575</v>
      </c>
      <c r="H192" s="29">
        <f t="shared" si="14"/>
        <v>1</v>
      </c>
      <c r="I192" s="29">
        <f t="shared" si="15"/>
        <v>1</v>
      </c>
      <c r="J192" s="29">
        <f t="shared" si="16"/>
        <v>1</v>
      </c>
      <c r="K192" s="51">
        <f>(Table39[[#This Row],[Diversity Linked to Exec Pay]]+Table39[[#This Row],[Board DEI Oversight]]+Table39[[#This Row],[Senior Management Target]])/3</f>
        <v>1</v>
      </c>
      <c r="L192" s="51">
        <f>(Table39[[#This Row],[G1 Score]]+Table39[[#This Row],[G2 Score]])/2</f>
        <v>0.77875000000000005</v>
      </c>
    </row>
    <row r="193" spans="2:12" ht="16" x14ac:dyDescent="0.4">
      <c r="B193" s="2" t="s">
        <v>476</v>
      </c>
      <c r="C193">
        <f t="shared" si="10"/>
        <v>0.98</v>
      </c>
      <c r="D193">
        <f t="shared" si="11"/>
        <v>0</v>
      </c>
      <c r="E193">
        <f t="shared" si="12"/>
        <v>1</v>
      </c>
      <c r="F193">
        <f t="shared" si="13"/>
        <v>0.5</v>
      </c>
      <c r="G193" s="51">
        <f>(Table39[[#This Row],[Sust. Report Page '# ]]+Table39[[#This Row],[CDP Score]]+Table39[[#This Row],[Climate KPI''s]]+Table39[[#This Row],[Assurance Level]])/4</f>
        <v>0.62</v>
      </c>
      <c r="H193" s="29">
        <f t="shared" si="14"/>
        <v>0.5</v>
      </c>
      <c r="I193" s="29">
        <f t="shared" si="15"/>
        <v>1</v>
      </c>
      <c r="J193" s="29">
        <f t="shared" si="16"/>
        <v>1</v>
      </c>
      <c r="K193" s="51">
        <f>(Table39[[#This Row],[Diversity Linked to Exec Pay]]+Table39[[#This Row],[Board DEI Oversight]]+Table39[[#This Row],[Senior Management Target]])/3</f>
        <v>0.83333333333333337</v>
      </c>
      <c r="L193" s="51">
        <f>(Table39[[#This Row],[G1 Score]]+Table39[[#This Row],[G2 Score]])/2</f>
        <v>0.72666666666666668</v>
      </c>
    </row>
    <row r="194" spans="2:12" ht="16" x14ac:dyDescent="0.4">
      <c r="B194" s="2" t="s">
        <v>67</v>
      </c>
      <c r="C194">
        <f t="shared" si="10"/>
        <v>0.49</v>
      </c>
      <c r="D194">
        <f t="shared" si="11"/>
        <v>0.6</v>
      </c>
      <c r="E194">
        <f t="shared" si="12"/>
        <v>0</v>
      </c>
      <c r="F194">
        <f t="shared" si="13"/>
        <v>0</v>
      </c>
      <c r="G194" s="51">
        <f>(Table39[[#This Row],[Sust. Report Page '# ]]+Table39[[#This Row],[CDP Score]]+Table39[[#This Row],[Climate KPI''s]]+Table39[[#This Row],[Assurance Level]])/4</f>
        <v>0.27249999999999996</v>
      </c>
      <c r="H194" s="29">
        <f t="shared" si="14"/>
        <v>1</v>
      </c>
      <c r="I194" s="29">
        <f t="shared" si="15"/>
        <v>1</v>
      </c>
      <c r="J194" s="29">
        <f t="shared" si="16"/>
        <v>0</v>
      </c>
      <c r="K194" s="51">
        <f>(Table39[[#This Row],[Diversity Linked to Exec Pay]]+Table39[[#This Row],[Board DEI Oversight]]+Table39[[#This Row],[Senior Management Target]])/3</f>
        <v>0.66666666666666663</v>
      </c>
      <c r="L194" s="51">
        <f>(Table39[[#This Row],[G1 Score]]+Table39[[#This Row],[G2 Score]])/2</f>
        <v>0.4695833333333333</v>
      </c>
    </row>
    <row r="195" spans="2:12" ht="16" x14ac:dyDescent="0.4">
      <c r="B195" s="2" t="s">
        <v>68</v>
      </c>
      <c r="C195">
        <f t="shared" si="10"/>
        <v>0.28000000000000003</v>
      </c>
      <c r="D195">
        <f t="shared" si="11"/>
        <v>0.6</v>
      </c>
      <c r="E195">
        <f t="shared" si="12"/>
        <v>0</v>
      </c>
      <c r="F195">
        <f t="shared" si="13"/>
        <v>0.5</v>
      </c>
      <c r="G195" s="51">
        <f>(Table39[[#This Row],[Sust. Report Page '# ]]+Table39[[#This Row],[CDP Score]]+Table39[[#This Row],[Climate KPI''s]]+Table39[[#This Row],[Assurance Level]])/4</f>
        <v>0.34499999999999997</v>
      </c>
      <c r="H195" s="29">
        <f t="shared" si="14"/>
        <v>0</v>
      </c>
      <c r="I195" s="29">
        <f t="shared" si="15"/>
        <v>1</v>
      </c>
      <c r="J195" s="29">
        <f t="shared" si="16"/>
        <v>1</v>
      </c>
      <c r="K195" s="51">
        <f>(Table39[[#This Row],[Diversity Linked to Exec Pay]]+Table39[[#This Row],[Board DEI Oversight]]+Table39[[#This Row],[Senior Management Target]])/3</f>
        <v>0.66666666666666663</v>
      </c>
      <c r="L195" s="51">
        <f>(Table39[[#This Row],[G1 Score]]+Table39[[#This Row],[G2 Score]])/2</f>
        <v>0.50583333333333336</v>
      </c>
    </row>
    <row r="196" spans="2:12" ht="16" x14ac:dyDescent="0.4">
      <c r="B196" s="2" t="s">
        <v>490</v>
      </c>
      <c r="C196">
        <f t="shared" si="10"/>
        <v>0.22</v>
      </c>
      <c r="D196">
        <f t="shared" si="11"/>
        <v>1</v>
      </c>
      <c r="E196">
        <f t="shared" si="12"/>
        <v>0</v>
      </c>
      <c r="F196">
        <f t="shared" si="13"/>
        <v>0.5</v>
      </c>
      <c r="G196" s="51">
        <f>(Table39[[#This Row],[Sust. Report Page '# ]]+Table39[[#This Row],[CDP Score]]+Table39[[#This Row],[Climate KPI''s]]+Table39[[#This Row],[Assurance Level]])/4</f>
        <v>0.43</v>
      </c>
      <c r="H196" s="29">
        <f t="shared" si="14"/>
        <v>0</v>
      </c>
      <c r="I196" s="29">
        <f t="shared" si="15"/>
        <v>1</v>
      </c>
      <c r="J196" s="29">
        <f t="shared" si="16"/>
        <v>1</v>
      </c>
      <c r="K196" s="51">
        <f>(Table39[[#This Row],[Diversity Linked to Exec Pay]]+Table39[[#This Row],[Board DEI Oversight]]+Table39[[#This Row],[Senior Management Target]])/3</f>
        <v>0.66666666666666663</v>
      </c>
      <c r="L196" s="51">
        <f>(Table39[[#This Row],[G1 Score]]+Table39[[#This Row],[G2 Score]])/2</f>
        <v>0.54833333333333334</v>
      </c>
    </row>
    <row r="197" spans="2:12" ht="16" x14ac:dyDescent="0.4">
      <c r="B197" s="2" t="s">
        <v>495</v>
      </c>
      <c r="C197">
        <f t="shared" si="10"/>
        <v>0.49</v>
      </c>
      <c r="D197">
        <f t="shared" si="11"/>
        <v>0</v>
      </c>
      <c r="E197">
        <f t="shared" si="12"/>
        <v>1</v>
      </c>
      <c r="F197">
        <f t="shared" si="13"/>
        <v>0.5</v>
      </c>
      <c r="G197" s="51">
        <f>(Table39[[#This Row],[Sust. Report Page '# ]]+Table39[[#This Row],[CDP Score]]+Table39[[#This Row],[Climate KPI''s]]+Table39[[#This Row],[Assurance Level]])/4</f>
        <v>0.4975</v>
      </c>
      <c r="H197" s="29">
        <f t="shared" si="14"/>
        <v>1</v>
      </c>
      <c r="I197" s="29">
        <f t="shared" si="15"/>
        <v>1</v>
      </c>
      <c r="J197" s="29">
        <f t="shared" si="16"/>
        <v>1</v>
      </c>
      <c r="K197" s="51">
        <f>(Table39[[#This Row],[Diversity Linked to Exec Pay]]+Table39[[#This Row],[Board DEI Oversight]]+Table39[[#This Row],[Senior Management Target]])/3</f>
        <v>1</v>
      </c>
      <c r="L197" s="51">
        <f>(Table39[[#This Row],[G1 Score]]+Table39[[#This Row],[G2 Score]])/2</f>
        <v>0.74875000000000003</v>
      </c>
    </row>
    <row r="198" spans="2:12" ht="16" x14ac:dyDescent="0.4">
      <c r="B198" s="2" t="s">
        <v>500</v>
      </c>
      <c r="C198">
        <f t="shared" si="10"/>
        <v>0.52</v>
      </c>
      <c r="D198">
        <f t="shared" si="11"/>
        <v>0.4</v>
      </c>
      <c r="E198">
        <f t="shared" si="12"/>
        <v>0</v>
      </c>
      <c r="F198">
        <f t="shared" si="13"/>
        <v>0</v>
      </c>
      <c r="G198" s="51">
        <f>(Table39[[#This Row],[Sust. Report Page '# ]]+Table39[[#This Row],[CDP Score]]+Table39[[#This Row],[Climate KPI''s]]+Table39[[#This Row],[Assurance Level]])/4</f>
        <v>0.23</v>
      </c>
      <c r="H198" s="29">
        <f t="shared" si="14"/>
        <v>0.5</v>
      </c>
      <c r="I198" s="29">
        <f t="shared" si="15"/>
        <v>1</v>
      </c>
      <c r="J198" s="29">
        <f t="shared" si="16"/>
        <v>1</v>
      </c>
      <c r="K198" s="51">
        <f>(Table39[[#This Row],[Diversity Linked to Exec Pay]]+Table39[[#This Row],[Board DEI Oversight]]+Table39[[#This Row],[Senior Management Target]])/3</f>
        <v>0.83333333333333337</v>
      </c>
      <c r="L198" s="51">
        <f>(Table39[[#This Row],[G1 Score]]+Table39[[#This Row],[G2 Score]])/2</f>
        <v>0.53166666666666673</v>
      </c>
    </row>
    <row r="199" spans="2:12" ht="16" x14ac:dyDescent="0.4">
      <c r="B199" s="2" t="s">
        <v>70</v>
      </c>
      <c r="C199">
        <f t="shared" si="10"/>
        <v>0.38</v>
      </c>
      <c r="D199">
        <f t="shared" si="11"/>
        <v>1</v>
      </c>
      <c r="E199">
        <f t="shared" si="12"/>
        <v>0</v>
      </c>
      <c r="F199">
        <f t="shared" si="13"/>
        <v>0.5</v>
      </c>
      <c r="G199" s="51">
        <f>(Table39[[#This Row],[Sust. Report Page '# ]]+Table39[[#This Row],[CDP Score]]+Table39[[#This Row],[Climate KPI''s]]+Table39[[#This Row],[Assurance Level]])/4</f>
        <v>0.47</v>
      </c>
      <c r="H199" s="29">
        <f t="shared" si="14"/>
        <v>0</v>
      </c>
      <c r="I199" s="29">
        <f t="shared" si="15"/>
        <v>1</v>
      </c>
      <c r="J199" s="29">
        <f t="shared" si="16"/>
        <v>1</v>
      </c>
      <c r="K199" s="51">
        <f>(Table39[[#This Row],[Diversity Linked to Exec Pay]]+Table39[[#This Row],[Board DEI Oversight]]+Table39[[#This Row],[Senior Management Target]])/3</f>
        <v>0.66666666666666663</v>
      </c>
      <c r="L199" s="51">
        <f>(Table39[[#This Row],[G1 Score]]+Table39[[#This Row],[G2 Score]])/2</f>
        <v>0.56833333333333336</v>
      </c>
    </row>
    <row r="200" spans="2:12" ht="16" x14ac:dyDescent="0.4">
      <c r="B200" s="2" t="s">
        <v>71</v>
      </c>
      <c r="C200">
        <f t="shared" si="10"/>
        <v>0.57999999999999996</v>
      </c>
      <c r="D200">
        <f t="shared" si="11"/>
        <v>1</v>
      </c>
      <c r="E200">
        <f t="shared" si="12"/>
        <v>0</v>
      </c>
      <c r="F200">
        <f t="shared" si="13"/>
        <v>0.5</v>
      </c>
      <c r="G200" s="51">
        <f>(Table39[[#This Row],[Sust. Report Page '# ]]+Table39[[#This Row],[CDP Score]]+Table39[[#This Row],[Climate KPI''s]]+Table39[[#This Row],[Assurance Level]])/4</f>
        <v>0.52</v>
      </c>
      <c r="H200" s="29">
        <f t="shared" si="14"/>
        <v>0</v>
      </c>
      <c r="I200" s="29">
        <f t="shared" si="15"/>
        <v>1</v>
      </c>
      <c r="J200" s="29">
        <f t="shared" si="16"/>
        <v>0</v>
      </c>
      <c r="K200" s="51">
        <f>(Table39[[#This Row],[Diversity Linked to Exec Pay]]+Table39[[#This Row],[Board DEI Oversight]]+Table39[[#This Row],[Senior Management Target]])/3</f>
        <v>0.33333333333333331</v>
      </c>
      <c r="L200" s="51">
        <f>(Table39[[#This Row],[G1 Score]]+Table39[[#This Row],[G2 Score]])/2</f>
        <v>0.42666666666666664</v>
      </c>
    </row>
    <row r="201" spans="2:12" ht="16" x14ac:dyDescent="0.4">
      <c r="B201" s="2" t="s">
        <v>72</v>
      </c>
      <c r="C201">
        <f t="shared" si="10"/>
        <v>0.61</v>
      </c>
      <c r="D201">
        <f t="shared" si="11"/>
        <v>0.8</v>
      </c>
      <c r="E201">
        <f t="shared" si="12"/>
        <v>1</v>
      </c>
      <c r="F201">
        <f t="shared" si="13"/>
        <v>0.5</v>
      </c>
      <c r="G201" s="51">
        <f>(Table39[[#This Row],[Sust. Report Page '# ]]+Table39[[#This Row],[CDP Score]]+Table39[[#This Row],[Climate KPI''s]]+Table39[[#This Row],[Assurance Level]])/4</f>
        <v>0.72750000000000004</v>
      </c>
      <c r="H201" s="29">
        <f t="shared" si="14"/>
        <v>0.5</v>
      </c>
      <c r="I201" s="29">
        <f t="shared" si="15"/>
        <v>1</v>
      </c>
      <c r="J201" s="29">
        <f t="shared" si="16"/>
        <v>0</v>
      </c>
      <c r="K201" s="51">
        <f>(Table39[[#This Row],[Diversity Linked to Exec Pay]]+Table39[[#This Row],[Board DEI Oversight]]+Table39[[#This Row],[Senior Management Target]])/3</f>
        <v>0.5</v>
      </c>
      <c r="L201" s="51">
        <f>(Table39[[#This Row],[G1 Score]]+Table39[[#This Row],[G2 Score]])/2</f>
        <v>0.61375000000000002</v>
      </c>
    </row>
    <row r="202" spans="2:12" ht="16" x14ac:dyDescent="0.4">
      <c r="B202" s="2" t="s">
        <v>73</v>
      </c>
      <c r="C202">
        <f t="shared" si="10"/>
        <v>0.69</v>
      </c>
      <c r="D202">
        <f t="shared" si="11"/>
        <v>0</v>
      </c>
      <c r="E202">
        <f t="shared" si="12"/>
        <v>1</v>
      </c>
      <c r="F202">
        <f t="shared" si="13"/>
        <v>1</v>
      </c>
      <c r="G202" s="51">
        <f>(Table39[[#This Row],[Sust. Report Page '# ]]+Table39[[#This Row],[CDP Score]]+Table39[[#This Row],[Climate KPI''s]]+Table39[[#This Row],[Assurance Level]])/4</f>
        <v>0.67249999999999999</v>
      </c>
      <c r="H202" s="29">
        <f t="shared" si="14"/>
        <v>1</v>
      </c>
      <c r="I202" s="29">
        <f t="shared" si="15"/>
        <v>1</v>
      </c>
      <c r="J202" s="29">
        <f t="shared" si="16"/>
        <v>0</v>
      </c>
      <c r="K202" s="51">
        <f>(Table39[[#This Row],[Diversity Linked to Exec Pay]]+Table39[[#This Row],[Board DEI Oversight]]+Table39[[#This Row],[Senior Management Target]])/3</f>
        <v>0.66666666666666663</v>
      </c>
      <c r="L202" s="51">
        <f>(Table39[[#This Row],[G1 Score]]+Table39[[#This Row],[G2 Score]])/2</f>
        <v>0.66958333333333331</v>
      </c>
    </row>
    <row r="203" spans="2:12" ht="16" x14ac:dyDescent="0.4">
      <c r="B203" s="2" t="s">
        <v>522</v>
      </c>
      <c r="C203">
        <f t="shared" si="10"/>
        <v>1.28</v>
      </c>
      <c r="D203">
        <f t="shared" si="11"/>
        <v>1</v>
      </c>
      <c r="E203">
        <f t="shared" si="12"/>
        <v>0</v>
      </c>
      <c r="F203">
        <f t="shared" si="13"/>
        <v>0.5</v>
      </c>
      <c r="G203" s="51">
        <f>(Table39[[#This Row],[Sust. Report Page '# ]]+Table39[[#This Row],[CDP Score]]+Table39[[#This Row],[Climate KPI''s]]+Table39[[#This Row],[Assurance Level]])/4</f>
        <v>0.69500000000000006</v>
      </c>
      <c r="H203" s="29">
        <f t="shared" si="14"/>
        <v>0</v>
      </c>
      <c r="I203" s="29">
        <f t="shared" si="15"/>
        <v>1</v>
      </c>
      <c r="J203" s="29">
        <f t="shared" si="16"/>
        <v>1</v>
      </c>
      <c r="K203" s="51">
        <f>(Table39[[#This Row],[Diversity Linked to Exec Pay]]+Table39[[#This Row],[Board DEI Oversight]]+Table39[[#This Row],[Senior Management Target]])/3</f>
        <v>0.66666666666666663</v>
      </c>
      <c r="L203" s="51">
        <f>(Table39[[#This Row],[G1 Score]]+Table39[[#This Row],[G2 Score]])/2</f>
        <v>0.6808333333333334</v>
      </c>
    </row>
    <row r="204" spans="2:12" ht="16" x14ac:dyDescent="0.4">
      <c r="B204" s="2" t="s">
        <v>528</v>
      </c>
      <c r="C204">
        <f t="shared" si="10"/>
        <v>0.47</v>
      </c>
      <c r="D204">
        <f t="shared" si="11"/>
        <v>0</v>
      </c>
      <c r="E204">
        <f t="shared" si="12"/>
        <v>1</v>
      </c>
      <c r="F204">
        <f t="shared" si="13"/>
        <v>0.5</v>
      </c>
      <c r="G204" s="51">
        <f>(Table39[[#This Row],[Sust. Report Page '# ]]+Table39[[#This Row],[CDP Score]]+Table39[[#This Row],[Climate KPI''s]]+Table39[[#This Row],[Assurance Level]])/4</f>
        <v>0.49249999999999999</v>
      </c>
      <c r="H204" s="29">
        <f t="shared" si="14"/>
        <v>0.5</v>
      </c>
      <c r="I204" s="29">
        <f t="shared" si="15"/>
        <v>1</v>
      </c>
      <c r="J204" s="29">
        <f t="shared" si="16"/>
        <v>1</v>
      </c>
      <c r="K204" s="51">
        <f>(Table39[[#This Row],[Diversity Linked to Exec Pay]]+Table39[[#This Row],[Board DEI Oversight]]+Table39[[#This Row],[Senior Management Target]])/3</f>
        <v>0.83333333333333337</v>
      </c>
      <c r="L204" s="51">
        <f>(Table39[[#This Row],[G1 Score]]+Table39[[#This Row],[G2 Score]])/2</f>
        <v>0.66291666666666671</v>
      </c>
    </row>
    <row r="205" spans="2:12" ht="16" x14ac:dyDescent="0.4">
      <c r="B205" s="2" t="s">
        <v>74</v>
      </c>
      <c r="C205">
        <f t="shared" si="10"/>
        <v>0.49</v>
      </c>
      <c r="D205">
        <f t="shared" si="11"/>
        <v>1</v>
      </c>
      <c r="E205">
        <f t="shared" si="12"/>
        <v>1</v>
      </c>
      <c r="F205">
        <f t="shared" si="13"/>
        <v>0.5</v>
      </c>
      <c r="G205" s="51">
        <f>(Table39[[#This Row],[Sust. Report Page '# ]]+Table39[[#This Row],[CDP Score]]+Table39[[#This Row],[Climate KPI''s]]+Table39[[#This Row],[Assurance Level]])/4</f>
        <v>0.74750000000000005</v>
      </c>
      <c r="H205" s="29">
        <f t="shared" si="14"/>
        <v>0</v>
      </c>
      <c r="I205" s="29">
        <f t="shared" si="15"/>
        <v>1</v>
      </c>
      <c r="J205" s="29">
        <f t="shared" si="16"/>
        <v>0</v>
      </c>
      <c r="K205" s="51">
        <f>(Table39[[#This Row],[Diversity Linked to Exec Pay]]+Table39[[#This Row],[Board DEI Oversight]]+Table39[[#This Row],[Senior Management Target]])/3</f>
        <v>0.33333333333333331</v>
      </c>
      <c r="L205" s="51">
        <f>(Table39[[#This Row],[G1 Score]]+Table39[[#This Row],[G2 Score]])/2</f>
        <v>0.54041666666666666</v>
      </c>
    </row>
    <row r="206" spans="2:12" ht="16" x14ac:dyDescent="0.4">
      <c r="B206" s="2" t="s">
        <v>75</v>
      </c>
      <c r="C206">
        <f t="shared" si="10"/>
        <v>0.13</v>
      </c>
      <c r="D206">
        <f t="shared" si="11"/>
        <v>1</v>
      </c>
      <c r="E206">
        <f t="shared" si="12"/>
        <v>1</v>
      </c>
      <c r="F206">
        <f t="shared" si="13"/>
        <v>0.5</v>
      </c>
      <c r="G206" s="51">
        <f>(Table39[[#This Row],[Sust. Report Page '# ]]+Table39[[#This Row],[CDP Score]]+Table39[[#This Row],[Climate KPI''s]]+Table39[[#This Row],[Assurance Level]])/4</f>
        <v>0.65749999999999997</v>
      </c>
      <c r="H206" s="29">
        <f t="shared" si="14"/>
        <v>0.5</v>
      </c>
      <c r="I206" s="29">
        <f t="shared" si="15"/>
        <v>1</v>
      </c>
      <c r="J206" s="29">
        <f t="shared" si="16"/>
        <v>0</v>
      </c>
      <c r="K206" s="51">
        <f>(Table39[[#This Row],[Diversity Linked to Exec Pay]]+Table39[[#This Row],[Board DEI Oversight]]+Table39[[#This Row],[Senior Management Target]])/3</f>
        <v>0.5</v>
      </c>
      <c r="L206" s="51">
        <f>(Table39[[#This Row],[G1 Score]]+Table39[[#This Row],[G2 Score]])/2</f>
        <v>0.57874999999999999</v>
      </c>
    </row>
    <row r="207" spans="2:12" ht="16" x14ac:dyDescent="0.4">
      <c r="B207" s="2" t="s">
        <v>76</v>
      </c>
      <c r="C207">
        <f t="shared" si="10"/>
        <v>0.55000000000000004</v>
      </c>
      <c r="D207">
        <f t="shared" si="11"/>
        <v>0</v>
      </c>
      <c r="E207">
        <f t="shared" si="12"/>
        <v>0</v>
      </c>
      <c r="F207">
        <f t="shared" si="13"/>
        <v>0.5</v>
      </c>
      <c r="G207" s="51">
        <f>(Table39[[#This Row],[Sust. Report Page '# ]]+Table39[[#This Row],[CDP Score]]+Table39[[#This Row],[Climate KPI''s]]+Table39[[#This Row],[Assurance Level]])/4</f>
        <v>0.26250000000000001</v>
      </c>
      <c r="H207" s="29">
        <f t="shared" si="14"/>
        <v>1</v>
      </c>
      <c r="I207" s="29">
        <f t="shared" si="15"/>
        <v>1</v>
      </c>
      <c r="J207" s="29">
        <f t="shared" si="16"/>
        <v>1</v>
      </c>
      <c r="K207" s="51">
        <f>(Table39[[#This Row],[Diversity Linked to Exec Pay]]+Table39[[#This Row],[Board DEI Oversight]]+Table39[[#This Row],[Senior Management Target]])/3</f>
        <v>1</v>
      </c>
      <c r="L207" s="51">
        <f>(Table39[[#This Row],[G1 Score]]+Table39[[#This Row],[G2 Score]])/2</f>
        <v>0.63124999999999998</v>
      </c>
    </row>
    <row r="208" spans="2:12" ht="16" x14ac:dyDescent="0.4">
      <c r="B208" s="2" t="s">
        <v>77</v>
      </c>
      <c r="C208">
        <f t="shared" si="10"/>
        <v>0.41</v>
      </c>
      <c r="D208">
        <f t="shared" si="11"/>
        <v>0.6</v>
      </c>
      <c r="E208">
        <f t="shared" si="12"/>
        <v>0</v>
      </c>
      <c r="F208">
        <f t="shared" si="13"/>
        <v>0.5</v>
      </c>
      <c r="G208" s="51">
        <f>(Table39[[#This Row],[Sust. Report Page '# ]]+Table39[[#This Row],[CDP Score]]+Table39[[#This Row],[Climate KPI''s]]+Table39[[#This Row],[Assurance Level]])/4</f>
        <v>0.3775</v>
      </c>
      <c r="H208" s="29">
        <f t="shared" si="14"/>
        <v>1</v>
      </c>
      <c r="I208" s="29">
        <f t="shared" si="15"/>
        <v>1</v>
      </c>
      <c r="J208" s="29">
        <f t="shared" si="16"/>
        <v>0</v>
      </c>
      <c r="K208" s="51">
        <f>(Table39[[#This Row],[Diversity Linked to Exec Pay]]+Table39[[#This Row],[Board DEI Oversight]]+Table39[[#This Row],[Senior Management Target]])/3</f>
        <v>0.66666666666666663</v>
      </c>
      <c r="L208" s="51">
        <f>(Table39[[#This Row],[G1 Score]]+Table39[[#This Row],[G2 Score]])/2</f>
        <v>0.52208333333333334</v>
      </c>
    </row>
  </sheetData>
  <phoneticPr fontId="14" type="noConversion"/>
  <conditionalFormatting sqref="G109:G208">
    <cfRule type="colorScale" priority="10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K109:K207">
    <cfRule type="colorScale" priority="8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K208">
    <cfRule type="colorScale" priority="1">
      <colorScale>
        <cfvo type="min"/>
        <cfvo type="percentile" val="50"/>
        <cfvo type="max"/>
        <color rgb="FFCCFFCC"/>
        <color rgb="FFFFFFCC"/>
        <color rgb="FFFFCCCC"/>
      </colorScale>
    </cfRule>
  </conditionalFormatting>
  <conditionalFormatting sqref="L109:L208">
    <cfRule type="colorScale" priority="12">
      <colorScale>
        <cfvo type="min"/>
        <cfvo type="percentile" val="50"/>
        <cfvo type="max"/>
        <color rgb="FF97FF97"/>
        <color rgb="FFFFFF81"/>
        <color rgb="FFFF8181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590D-EB9F-4CBB-A54D-85B402E51CF9}">
  <sheetPr>
    <tabColor rgb="FF7030A0"/>
  </sheetPr>
  <dimension ref="B1:W92"/>
  <sheetViews>
    <sheetView showGridLines="0" zoomScale="90" zoomScaleNormal="90" workbookViewId="0">
      <selection activeCell="F21" sqref="F21"/>
    </sheetView>
  </sheetViews>
  <sheetFormatPr defaultRowHeight="16" x14ac:dyDescent="0.4"/>
  <cols>
    <col min="1" max="1" width="4.54296875" style="1" customWidth="1"/>
    <col min="2" max="2" width="58.453125" style="1" bestFit="1" customWidth="1"/>
    <col min="3" max="3" width="48.36328125" style="1" bestFit="1" customWidth="1"/>
    <col min="4" max="4" width="50.54296875" style="1" bestFit="1" customWidth="1"/>
    <col min="5" max="5" width="8.7265625" style="1"/>
    <col min="6" max="7" width="129.08984375" style="1" bestFit="1" customWidth="1"/>
    <col min="8" max="8" width="20.26953125" style="1" bestFit="1" customWidth="1"/>
    <col min="9" max="9" width="14" style="1" bestFit="1" customWidth="1"/>
    <col min="10" max="10" width="16.81640625" style="1" bestFit="1" customWidth="1"/>
    <col min="11" max="11" width="10.81640625" style="1" bestFit="1" customWidth="1"/>
    <col min="12" max="12" width="24.81640625" style="1" bestFit="1" customWidth="1"/>
    <col min="13" max="13" width="18.7265625" style="1" bestFit="1" customWidth="1"/>
    <col min="14" max="14" width="17.54296875" style="1" bestFit="1" customWidth="1"/>
    <col min="15" max="15" width="8.7265625" style="1"/>
    <col min="16" max="16" width="18.81640625" style="1" bestFit="1" customWidth="1"/>
    <col min="17" max="17" width="8.7265625" style="1"/>
    <col min="18" max="18" width="25.7265625" style="1" bestFit="1" customWidth="1"/>
    <col min="19" max="19" width="4" style="1" bestFit="1" customWidth="1"/>
    <col min="20" max="20" width="23.26953125" style="1" bestFit="1" customWidth="1"/>
    <col min="21" max="21" width="8.7265625" style="1"/>
    <col min="22" max="22" width="25.36328125" style="1" bestFit="1" customWidth="1"/>
    <col min="23" max="23" width="19" style="1" bestFit="1" customWidth="1"/>
    <col min="24" max="16384" width="8.7265625" style="1"/>
  </cols>
  <sheetData>
    <row r="1" spans="2:8" ht="25" customHeight="1" x14ac:dyDescent="0.4"/>
    <row r="2" spans="2:8" ht="18.5" x14ac:dyDescent="0.45">
      <c r="B2" s="79" t="s">
        <v>0</v>
      </c>
      <c r="C2" s="79"/>
      <c r="D2" s="79"/>
      <c r="F2" s="66" t="s">
        <v>767</v>
      </c>
      <c r="G2"/>
      <c r="H2"/>
    </row>
    <row r="3" spans="2:8" x14ac:dyDescent="0.4">
      <c r="B3" s="19" t="s">
        <v>572</v>
      </c>
      <c r="C3" s="19" t="s">
        <v>575</v>
      </c>
      <c r="D3" s="19" t="s">
        <v>677</v>
      </c>
      <c r="F3" s="14"/>
      <c r="G3"/>
      <c r="H3"/>
    </row>
    <row r="4" spans="2:8" x14ac:dyDescent="0.4">
      <c r="B4" s="13"/>
      <c r="C4" s="13"/>
      <c r="D4" s="13"/>
      <c r="F4" s="5" t="s">
        <v>768</v>
      </c>
      <c r="G4"/>
      <c r="H4"/>
    </row>
    <row r="5" spans="2:8" x14ac:dyDescent="0.4">
      <c r="B5" s="3" t="s">
        <v>561</v>
      </c>
      <c r="C5" s="3" t="s">
        <v>576</v>
      </c>
      <c r="D5" s="3" t="s">
        <v>595</v>
      </c>
      <c r="F5" s="5" t="s">
        <v>769</v>
      </c>
      <c r="G5"/>
      <c r="H5"/>
    </row>
    <row r="6" spans="2:8" x14ac:dyDescent="0.4">
      <c r="B6" s="13" t="s">
        <v>553</v>
      </c>
      <c r="C6" s="13" t="s">
        <v>577</v>
      </c>
      <c r="D6" s="13" t="s">
        <v>596</v>
      </c>
      <c r="F6" s="5" t="s">
        <v>771</v>
      </c>
      <c r="G6"/>
      <c r="H6"/>
    </row>
    <row r="7" spans="2:8" x14ac:dyDescent="0.4">
      <c r="B7" s="13" t="s">
        <v>554</v>
      </c>
      <c r="C7" s="13" t="s">
        <v>578</v>
      </c>
      <c r="D7" s="13" t="s">
        <v>597</v>
      </c>
      <c r="F7" s="5" t="s">
        <v>770</v>
      </c>
      <c r="G7"/>
      <c r="H7"/>
    </row>
    <row r="8" spans="2:8" x14ac:dyDescent="0.4">
      <c r="B8" s="13" t="s">
        <v>555</v>
      </c>
      <c r="C8" s="13"/>
      <c r="D8" s="13"/>
      <c r="F8" s="5"/>
      <c r="G8"/>
      <c r="H8"/>
    </row>
    <row r="9" spans="2:8" x14ac:dyDescent="0.4">
      <c r="B9" s="13" t="s">
        <v>556</v>
      </c>
      <c r="C9" s="3" t="s">
        <v>579</v>
      </c>
      <c r="D9" s="3" t="s">
        <v>668</v>
      </c>
      <c r="F9" s="14" t="s">
        <v>774</v>
      </c>
      <c r="G9"/>
      <c r="H9"/>
    </row>
    <row r="10" spans="2:8" x14ac:dyDescent="0.4">
      <c r="B10" s="13" t="s">
        <v>557</v>
      </c>
      <c r="C10" s="13" t="s">
        <v>581</v>
      </c>
      <c r="D10" s="13" t="s">
        <v>598</v>
      </c>
      <c r="F10" s="14" t="s">
        <v>772</v>
      </c>
      <c r="G10"/>
      <c r="H10"/>
    </row>
    <row r="11" spans="2:8" x14ac:dyDescent="0.4">
      <c r="B11" s="13" t="s">
        <v>558</v>
      </c>
      <c r="C11" s="13" t="s">
        <v>582</v>
      </c>
      <c r="D11" s="13"/>
      <c r="F11" s="14" t="s">
        <v>773</v>
      </c>
      <c r="G11"/>
      <c r="H11"/>
    </row>
    <row r="12" spans="2:8" x14ac:dyDescent="0.4">
      <c r="B12" s="13" t="s">
        <v>559</v>
      </c>
      <c r="C12" s="13" t="s">
        <v>583</v>
      </c>
      <c r="D12" s="3" t="s">
        <v>599</v>
      </c>
      <c r="F12" s="14"/>
      <c r="G12"/>
      <c r="H12"/>
    </row>
    <row r="13" spans="2:8" x14ac:dyDescent="0.4">
      <c r="B13" s="13"/>
      <c r="C13" s="13" t="s">
        <v>584</v>
      </c>
      <c r="D13" s="13" t="s">
        <v>586</v>
      </c>
    </row>
    <row r="14" spans="2:8" x14ac:dyDescent="0.4">
      <c r="B14" s="3" t="s">
        <v>560</v>
      </c>
      <c r="C14" s="13"/>
      <c r="D14" s="13" t="s">
        <v>587</v>
      </c>
    </row>
    <row r="15" spans="2:8" x14ac:dyDescent="0.4">
      <c r="B15" s="13" t="s">
        <v>562</v>
      </c>
      <c r="C15" s="3" t="s">
        <v>585</v>
      </c>
      <c r="D15" s="13" t="s">
        <v>603</v>
      </c>
    </row>
    <row r="16" spans="2:8" x14ac:dyDescent="0.4">
      <c r="B16" s="13" t="s">
        <v>563</v>
      </c>
      <c r="C16" s="13" t="s">
        <v>586</v>
      </c>
      <c r="D16" s="13"/>
    </row>
    <row r="17" spans="2:4" x14ac:dyDescent="0.4">
      <c r="B17" s="13" t="s">
        <v>564</v>
      </c>
      <c r="C17" s="13" t="s">
        <v>587</v>
      </c>
      <c r="D17" s="3" t="s">
        <v>600</v>
      </c>
    </row>
    <row r="18" spans="2:4" x14ac:dyDescent="0.4">
      <c r="B18" s="13" t="s">
        <v>565</v>
      </c>
      <c r="C18" s="13" t="s">
        <v>588</v>
      </c>
      <c r="D18" s="13" t="s">
        <v>601</v>
      </c>
    </row>
    <row r="19" spans="2:4" x14ac:dyDescent="0.4">
      <c r="B19" s="13"/>
      <c r="C19" s="13"/>
      <c r="D19" s="13" t="s">
        <v>602</v>
      </c>
    </row>
    <row r="20" spans="2:4" x14ac:dyDescent="0.4">
      <c r="B20" s="3" t="s">
        <v>566</v>
      </c>
      <c r="C20" s="3" t="s">
        <v>589</v>
      </c>
      <c r="D20" s="13" t="s">
        <v>594</v>
      </c>
    </row>
    <row r="21" spans="2:4" x14ac:dyDescent="0.4">
      <c r="B21" s="13" t="s">
        <v>567</v>
      </c>
      <c r="C21" s="13" t="s">
        <v>590</v>
      </c>
      <c r="D21" s="13"/>
    </row>
    <row r="22" spans="2:4" x14ac:dyDescent="0.4">
      <c r="B22" s="13" t="s">
        <v>568</v>
      </c>
      <c r="C22" s="13" t="s">
        <v>591</v>
      </c>
      <c r="D22" s="13"/>
    </row>
    <row r="23" spans="2:4" x14ac:dyDescent="0.4">
      <c r="B23" s="13" t="s">
        <v>569</v>
      </c>
      <c r="C23" s="13" t="s">
        <v>592</v>
      </c>
      <c r="D23" s="13"/>
    </row>
    <row r="24" spans="2:4" x14ac:dyDescent="0.4">
      <c r="B24" s="13" t="s">
        <v>570</v>
      </c>
      <c r="C24" s="13" t="s">
        <v>593</v>
      </c>
      <c r="D24" s="13"/>
    </row>
    <row r="25" spans="2:4" x14ac:dyDescent="0.4">
      <c r="B25" s="13" t="s">
        <v>571</v>
      </c>
      <c r="C25" s="13" t="s">
        <v>594</v>
      </c>
      <c r="D25" s="13"/>
    </row>
    <row r="26" spans="2:4" x14ac:dyDescent="0.4">
      <c r="B26" s="13"/>
      <c r="C26" s="13"/>
      <c r="D26" s="13"/>
    </row>
    <row r="27" spans="2:4" x14ac:dyDescent="0.4">
      <c r="B27" s="3" t="s">
        <v>573</v>
      </c>
      <c r="C27" s="13"/>
      <c r="D27" s="13"/>
    </row>
    <row r="28" spans="2:4" x14ac:dyDescent="0.4">
      <c r="B28" s="13" t="s">
        <v>574</v>
      </c>
      <c r="C28" s="13"/>
      <c r="D28" s="13"/>
    </row>
    <row r="31" spans="2:4" ht="18.5" x14ac:dyDescent="0.45">
      <c r="B31" s="82" t="s">
        <v>1</v>
      </c>
      <c r="C31" s="82"/>
      <c r="D31" s="82"/>
    </row>
    <row r="32" spans="2:4" x14ac:dyDescent="0.4">
      <c r="B32" s="18" t="s">
        <v>610</v>
      </c>
      <c r="C32" s="18" t="s">
        <v>639</v>
      </c>
      <c r="D32" s="18" t="s">
        <v>644</v>
      </c>
    </row>
    <row r="33" spans="2:4" x14ac:dyDescent="0.4">
      <c r="B33" s="11"/>
      <c r="C33" s="11"/>
      <c r="D33" s="11"/>
    </row>
    <row r="34" spans="2:4" x14ac:dyDescent="0.4">
      <c r="B34" s="4" t="s">
        <v>604</v>
      </c>
      <c r="C34" s="4" t="s">
        <v>626</v>
      </c>
      <c r="D34" s="4" t="s">
        <v>640</v>
      </c>
    </row>
    <row r="35" spans="2:4" x14ac:dyDescent="0.4">
      <c r="B35" s="11" t="s">
        <v>605</v>
      </c>
      <c r="C35" s="11" t="s">
        <v>627</v>
      </c>
      <c r="D35" s="11" t="s">
        <v>587</v>
      </c>
    </row>
    <row r="36" spans="2:4" x14ac:dyDescent="0.4">
      <c r="B36" s="11"/>
      <c r="C36" s="11" t="s">
        <v>628</v>
      </c>
      <c r="D36" s="11" t="s">
        <v>603</v>
      </c>
    </row>
    <row r="37" spans="2:4" x14ac:dyDescent="0.4">
      <c r="B37" s="11" t="s">
        <v>625</v>
      </c>
      <c r="C37" s="11" t="s">
        <v>629</v>
      </c>
      <c r="D37" s="11"/>
    </row>
    <row r="38" spans="2:4" x14ac:dyDescent="0.4">
      <c r="B38" s="11" t="s">
        <v>624</v>
      </c>
      <c r="C38" s="11" t="s">
        <v>630</v>
      </c>
      <c r="D38" s="4" t="s">
        <v>641</v>
      </c>
    </row>
    <row r="39" spans="2:4" x14ac:dyDescent="0.4">
      <c r="B39" s="11" t="s">
        <v>623</v>
      </c>
      <c r="C39" s="11" t="s">
        <v>631</v>
      </c>
      <c r="D39" s="11" t="s">
        <v>646</v>
      </c>
    </row>
    <row r="40" spans="2:4" x14ac:dyDescent="0.4">
      <c r="B40" s="11" t="s">
        <v>622</v>
      </c>
      <c r="C40" s="11"/>
      <c r="D40" s="11" t="s">
        <v>645</v>
      </c>
    </row>
    <row r="41" spans="2:4" x14ac:dyDescent="0.4">
      <c r="B41" s="11"/>
      <c r="C41" s="12" t="s">
        <v>632</v>
      </c>
      <c r="D41" s="11" t="s">
        <v>584</v>
      </c>
    </row>
    <row r="42" spans="2:4" x14ac:dyDescent="0.4">
      <c r="B42" s="4" t="s">
        <v>606</v>
      </c>
      <c r="C42" s="11"/>
      <c r="D42" s="11"/>
    </row>
    <row r="43" spans="2:4" x14ac:dyDescent="0.4">
      <c r="B43" s="11" t="s">
        <v>607</v>
      </c>
      <c r="C43" s="4" t="s">
        <v>633</v>
      </c>
      <c r="D43" s="4" t="s">
        <v>642</v>
      </c>
    </row>
    <row r="44" spans="2:4" x14ac:dyDescent="0.4">
      <c r="B44" s="11" t="s">
        <v>621</v>
      </c>
      <c r="C44" s="11" t="s">
        <v>634</v>
      </c>
      <c r="D44" s="11" t="s">
        <v>643</v>
      </c>
    </row>
    <row r="45" spans="2:4" x14ac:dyDescent="0.4">
      <c r="B45" s="11" t="s">
        <v>618</v>
      </c>
      <c r="C45" s="11" t="s">
        <v>635</v>
      </c>
      <c r="D45" s="11"/>
    </row>
    <row r="46" spans="2:4" x14ac:dyDescent="0.4">
      <c r="B46" s="11" t="s">
        <v>619</v>
      </c>
      <c r="C46" s="11" t="s">
        <v>580</v>
      </c>
      <c r="D46" s="11"/>
    </row>
    <row r="47" spans="2:4" x14ac:dyDescent="0.4">
      <c r="B47" s="11" t="s">
        <v>620</v>
      </c>
      <c r="C47" s="11"/>
      <c r="D47" s="11"/>
    </row>
    <row r="48" spans="2:4" x14ac:dyDescent="0.4">
      <c r="B48" s="11"/>
      <c r="C48" s="4" t="s">
        <v>636</v>
      </c>
      <c r="D48" s="11"/>
    </row>
    <row r="49" spans="2:4" x14ac:dyDescent="0.4">
      <c r="B49" s="11" t="s">
        <v>608</v>
      </c>
      <c r="C49" s="11" t="s">
        <v>637</v>
      </c>
      <c r="D49" s="11"/>
    </row>
    <row r="50" spans="2:4" x14ac:dyDescent="0.4">
      <c r="B50" s="11" t="s">
        <v>617</v>
      </c>
      <c r="C50" s="11" t="s">
        <v>638</v>
      </c>
      <c r="D50" s="11"/>
    </row>
    <row r="51" spans="2:4" x14ac:dyDescent="0.4">
      <c r="B51" s="11" t="s">
        <v>614</v>
      </c>
      <c r="C51" s="11"/>
      <c r="D51" s="11"/>
    </row>
    <row r="52" spans="2:4" x14ac:dyDescent="0.4">
      <c r="B52" s="11" t="s">
        <v>615</v>
      </c>
      <c r="C52" s="11"/>
      <c r="D52" s="11"/>
    </row>
    <row r="53" spans="2:4" x14ac:dyDescent="0.4">
      <c r="B53" s="11" t="s">
        <v>616</v>
      </c>
      <c r="C53" s="11"/>
      <c r="D53" s="11"/>
    </row>
    <row r="54" spans="2:4" x14ac:dyDescent="0.4">
      <c r="B54" s="11"/>
      <c r="C54" s="11"/>
      <c r="D54" s="11"/>
    </row>
    <row r="55" spans="2:4" x14ac:dyDescent="0.4">
      <c r="B55" s="4" t="s">
        <v>609</v>
      </c>
      <c r="C55" s="11"/>
      <c r="D55" s="11"/>
    </row>
    <row r="56" spans="2:4" x14ac:dyDescent="0.4">
      <c r="B56" s="11" t="s">
        <v>611</v>
      </c>
      <c r="C56" s="11"/>
      <c r="D56" s="11"/>
    </row>
    <row r="57" spans="2:4" x14ac:dyDescent="0.4">
      <c r="B57" s="11" t="s">
        <v>612</v>
      </c>
      <c r="C57" s="11"/>
      <c r="D57" s="11"/>
    </row>
    <row r="58" spans="2:4" x14ac:dyDescent="0.4">
      <c r="B58" s="11" t="s">
        <v>613</v>
      </c>
      <c r="C58" s="11"/>
      <c r="D58" s="11"/>
    </row>
    <row r="71" spans="5:23" x14ac:dyDescent="0.4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5:23" x14ac:dyDescent="0.4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 spans="5:23" x14ac:dyDescent="0.4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5:23" x14ac:dyDescent="0.4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5:23" x14ac:dyDescent="0.4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5:23" x14ac:dyDescent="0.4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5:23" x14ac:dyDescent="0.4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5:23" x14ac:dyDescent="0.4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5:23" x14ac:dyDescent="0.4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5:23" x14ac:dyDescent="0.4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5:23" x14ac:dyDescent="0.4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5:23" x14ac:dyDescent="0.4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5:23" x14ac:dyDescent="0.4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5:23" x14ac:dyDescent="0.4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5:23" x14ac:dyDescent="0.4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5:23" x14ac:dyDescent="0.4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5:23" x14ac:dyDescent="0.4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5:23" x14ac:dyDescent="0.4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5:23" x14ac:dyDescent="0.4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5:23" x14ac:dyDescent="0.4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5:23" x14ac:dyDescent="0.4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5:23" x14ac:dyDescent="0.4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</sheetData>
  <mergeCells count="2">
    <mergeCell ref="B2:D2"/>
    <mergeCell ref="B31:D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31CB-6623-4834-9236-8B008A449728}">
  <sheetPr>
    <tabColor theme="9"/>
  </sheetPr>
  <dimension ref="A1:H103"/>
  <sheetViews>
    <sheetView showGridLines="0" workbookViewId="0">
      <selection activeCell="M23" sqref="M23"/>
    </sheetView>
  </sheetViews>
  <sheetFormatPr defaultRowHeight="16" x14ac:dyDescent="0.4"/>
  <cols>
    <col min="1" max="1" width="4.54296875" style="2" customWidth="1"/>
    <col min="2" max="2" width="32.26953125" style="1" bestFit="1" customWidth="1"/>
    <col min="3" max="3" width="24.26953125" style="1" bestFit="1" customWidth="1"/>
    <col min="4" max="4" width="52.1796875" style="1" customWidth="1"/>
    <col min="5" max="5" width="37.453125" style="1" bestFit="1" customWidth="1"/>
    <col min="6" max="6" width="31.36328125" style="1" customWidth="1"/>
    <col min="7" max="7" width="36.36328125" style="1" customWidth="1"/>
    <col min="8" max="8" width="8.7265625" style="1"/>
    <col min="9" max="9" width="29.54296875" style="1" bestFit="1" customWidth="1"/>
    <col min="10" max="10" width="8.7265625" style="1"/>
    <col min="11" max="11" width="19" style="1" customWidth="1"/>
    <col min="12" max="12" width="15.6328125" style="1" customWidth="1"/>
    <col min="13" max="14" width="46.7265625" style="1" customWidth="1"/>
    <col min="15" max="16384" width="8.7265625" style="1"/>
  </cols>
  <sheetData>
    <row r="1" spans="2:8" ht="25" customHeight="1" x14ac:dyDescent="0.4"/>
    <row r="2" spans="2:8" ht="16.5" thickBot="1" x14ac:dyDescent="0.45">
      <c r="B2" s="2" t="s">
        <v>79</v>
      </c>
      <c r="C2" s="1" t="s">
        <v>80</v>
      </c>
      <c r="D2" s="1" t="s">
        <v>78</v>
      </c>
      <c r="E2" s="1" t="s">
        <v>81</v>
      </c>
      <c r="F2" s="1" t="s">
        <v>82</v>
      </c>
      <c r="G2" s="1" t="s">
        <v>83</v>
      </c>
      <c r="H2" s="1" t="s">
        <v>84</v>
      </c>
    </row>
    <row r="3" spans="2:8" ht="17" thickBot="1" x14ac:dyDescent="0.45">
      <c r="B3" s="9" t="s">
        <v>5</v>
      </c>
      <c r="C3" s="6" t="s">
        <v>85</v>
      </c>
      <c r="D3" s="6" t="s">
        <v>86</v>
      </c>
      <c r="E3" s="7" t="s">
        <v>87</v>
      </c>
      <c r="F3" s="8" t="s">
        <v>88</v>
      </c>
      <c r="G3" s="7" t="s">
        <v>89</v>
      </c>
      <c r="H3" s="6">
        <v>2023</v>
      </c>
    </row>
    <row r="4" spans="2:8" ht="17" thickBot="1" x14ac:dyDescent="0.45">
      <c r="B4" s="9" t="s">
        <v>6</v>
      </c>
      <c r="C4" s="6" t="s">
        <v>90</v>
      </c>
      <c r="D4" s="6" t="s">
        <v>91</v>
      </c>
      <c r="E4" s="6" t="s">
        <v>720</v>
      </c>
      <c r="F4" s="8" t="s">
        <v>92</v>
      </c>
      <c r="G4" s="7" t="s">
        <v>93</v>
      </c>
      <c r="H4" s="6">
        <v>2024</v>
      </c>
    </row>
    <row r="5" spans="2:8" ht="17" thickBot="1" x14ac:dyDescent="0.45">
      <c r="B5" s="9" t="s">
        <v>94</v>
      </c>
      <c r="C5" s="6" t="s">
        <v>95</v>
      </c>
      <c r="D5" s="6" t="s">
        <v>96</v>
      </c>
      <c r="E5" s="6" t="s">
        <v>97</v>
      </c>
      <c r="F5" s="6" t="s">
        <v>98</v>
      </c>
      <c r="G5" s="6" t="s">
        <v>99</v>
      </c>
      <c r="H5" s="6">
        <v>2023</v>
      </c>
    </row>
    <row r="6" spans="2:8" ht="17" thickBot="1" x14ac:dyDescent="0.45">
      <c r="B6" s="9" t="s">
        <v>7</v>
      </c>
      <c r="C6" s="6" t="s">
        <v>100</v>
      </c>
      <c r="D6" s="6" t="s">
        <v>101</v>
      </c>
      <c r="E6" s="6" t="s">
        <v>102</v>
      </c>
      <c r="F6" s="7" t="s">
        <v>103</v>
      </c>
      <c r="G6" s="7" t="s">
        <v>104</v>
      </c>
      <c r="H6" s="6">
        <v>2024</v>
      </c>
    </row>
    <row r="7" spans="2:8" ht="17" thickBot="1" x14ac:dyDescent="0.45">
      <c r="B7" s="9" t="s">
        <v>8</v>
      </c>
      <c r="C7" s="6" t="s">
        <v>105</v>
      </c>
      <c r="D7" s="6" t="s">
        <v>106</v>
      </c>
      <c r="E7" s="6" t="s">
        <v>107</v>
      </c>
      <c r="F7" s="6" t="s">
        <v>108</v>
      </c>
      <c r="G7" s="6" t="s">
        <v>109</v>
      </c>
      <c r="H7" s="6">
        <v>2024</v>
      </c>
    </row>
    <row r="8" spans="2:8" ht="17" thickBot="1" x14ac:dyDescent="0.45">
      <c r="B8" s="9" t="s">
        <v>9</v>
      </c>
      <c r="C8" s="6" t="s">
        <v>110</v>
      </c>
      <c r="D8" s="6" t="s">
        <v>106</v>
      </c>
      <c r="E8" s="6" t="s">
        <v>111</v>
      </c>
      <c r="F8" s="6" t="s">
        <v>112</v>
      </c>
      <c r="G8" s="6" t="s">
        <v>113</v>
      </c>
      <c r="H8" s="6">
        <v>2024</v>
      </c>
    </row>
    <row r="9" spans="2:8" ht="17" thickBot="1" x14ac:dyDescent="0.45">
      <c r="B9" s="9" t="s">
        <v>10</v>
      </c>
      <c r="C9" s="6" t="s">
        <v>114</v>
      </c>
      <c r="D9" s="6" t="s">
        <v>115</v>
      </c>
      <c r="E9" s="6" t="s">
        <v>116</v>
      </c>
      <c r="F9" s="6" t="s">
        <v>117</v>
      </c>
      <c r="G9" s="6" t="s">
        <v>118</v>
      </c>
      <c r="H9" s="6">
        <v>2025</v>
      </c>
    </row>
    <row r="10" spans="2:8" ht="17" thickBot="1" x14ac:dyDescent="0.45">
      <c r="B10" s="9" t="s">
        <v>11</v>
      </c>
      <c r="C10" s="6" t="s">
        <v>119</v>
      </c>
      <c r="D10" s="6" t="s">
        <v>120</v>
      </c>
      <c r="E10" s="6" t="s">
        <v>121</v>
      </c>
      <c r="F10" s="6" t="s">
        <v>122</v>
      </c>
      <c r="G10" s="6" t="s">
        <v>123</v>
      </c>
      <c r="H10" s="6">
        <v>2024</v>
      </c>
    </row>
    <row r="11" spans="2:8" ht="17" thickBot="1" x14ac:dyDescent="0.45">
      <c r="B11" s="9" t="s">
        <v>12</v>
      </c>
      <c r="C11" s="6" t="s">
        <v>124</v>
      </c>
      <c r="D11" s="6" t="s">
        <v>125</v>
      </c>
      <c r="E11" s="7" t="s">
        <v>126</v>
      </c>
      <c r="F11" s="7" t="s">
        <v>127</v>
      </c>
      <c r="G11" s="7" t="s">
        <v>128</v>
      </c>
      <c r="H11" s="6">
        <v>2024</v>
      </c>
    </row>
    <row r="12" spans="2:8" ht="17" thickBot="1" x14ac:dyDescent="0.45">
      <c r="B12" s="9" t="s">
        <v>13</v>
      </c>
      <c r="C12" s="6" t="s">
        <v>129</v>
      </c>
      <c r="D12" s="6" t="s">
        <v>130</v>
      </c>
      <c r="E12" s="7" t="s">
        <v>131</v>
      </c>
      <c r="F12" s="6" t="s">
        <v>132</v>
      </c>
      <c r="G12" s="6" t="s">
        <v>133</v>
      </c>
      <c r="H12" s="6">
        <v>2023</v>
      </c>
    </row>
    <row r="13" spans="2:8" ht="17" thickBot="1" x14ac:dyDescent="0.45">
      <c r="B13" s="9" t="s">
        <v>14</v>
      </c>
      <c r="C13" s="6" t="s">
        <v>134</v>
      </c>
      <c r="D13" s="6" t="s">
        <v>135</v>
      </c>
      <c r="E13" s="6" t="s">
        <v>136</v>
      </c>
      <c r="F13" s="6" t="s">
        <v>137</v>
      </c>
      <c r="G13" s="6" t="s">
        <v>138</v>
      </c>
      <c r="H13" s="6">
        <v>2024</v>
      </c>
    </row>
    <row r="14" spans="2:8" ht="17" thickBot="1" x14ac:dyDescent="0.45">
      <c r="B14" s="9" t="s">
        <v>139</v>
      </c>
      <c r="C14" s="6" t="s">
        <v>140</v>
      </c>
      <c r="D14" s="6" t="s">
        <v>141</v>
      </c>
      <c r="E14" s="6" t="s">
        <v>142</v>
      </c>
      <c r="F14" s="6" t="s">
        <v>143</v>
      </c>
      <c r="G14" s="6" t="s">
        <v>144</v>
      </c>
      <c r="H14" s="6">
        <v>2023</v>
      </c>
    </row>
    <row r="15" spans="2:8" ht="17" thickBot="1" x14ac:dyDescent="0.45">
      <c r="B15" s="9" t="s">
        <v>15</v>
      </c>
      <c r="C15" s="6" t="s">
        <v>145</v>
      </c>
      <c r="D15" s="6" t="s">
        <v>141</v>
      </c>
      <c r="E15" s="6" t="s">
        <v>146</v>
      </c>
      <c r="F15" s="6" t="s">
        <v>147</v>
      </c>
      <c r="G15" s="6" t="s">
        <v>148</v>
      </c>
      <c r="H15" s="6">
        <v>2024</v>
      </c>
    </row>
    <row r="16" spans="2:8" ht="17" thickBot="1" x14ac:dyDescent="0.45">
      <c r="B16" s="9" t="s">
        <v>16</v>
      </c>
      <c r="C16" s="6" t="s">
        <v>149</v>
      </c>
      <c r="D16" s="6" t="s">
        <v>150</v>
      </c>
      <c r="E16" s="6" t="s">
        <v>151</v>
      </c>
      <c r="F16" s="6" t="s">
        <v>152</v>
      </c>
      <c r="G16" s="6" t="s">
        <v>153</v>
      </c>
      <c r="H16" s="6">
        <v>2024</v>
      </c>
    </row>
    <row r="17" spans="2:8" ht="17" thickBot="1" x14ac:dyDescent="0.45">
      <c r="B17" s="9" t="s">
        <v>17</v>
      </c>
      <c r="C17" s="6" t="s">
        <v>154</v>
      </c>
      <c r="D17" s="6" t="s">
        <v>155</v>
      </c>
      <c r="E17" s="6" t="s">
        <v>156</v>
      </c>
      <c r="F17" s="6" t="s">
        <v>157</v>
      </c>
      <c r="G17" s="6" t="s">
        <v>158</v>
      </c>
      <c r="H17" s="6">
        <v>2025</v>
      </c>
    </row>
    <row r="18" spans="2:8" ht="17" thickBot="1" x14ac:dyDescent="0.45">
      <c r="B18" s="9" t="s">
        <v>18</v>
      </c>
      <c r="C18" s="6" t="s">
        <v>159</v>
      </c>
      <c r="D18" s="6" t="s">
        <v>91</v>
      </c>
      <c r="E18" s="6" t="s">
        <v>160</v>
      </c>
      <c r="F18" s="6" t="s">
        <v>161</v>
      </c>
      <c r="G18" s="6" t="s">
        <v>162</v>
      </c>
      <c r="H18" s="6">
        <v>2024</v>
      </c>
    </row>
    <row r="19" spans="2:8" ht="17" thickBot="1" x14ac:dyDescent="0.45">
      <c r="B19" s="9" t="s">
        <v>163</v>
      </c>
      <c r="C19" s="6" t="s">
        <v>164</v>
      </c>
      <c r="D19" s="6" t="s">
        <v>155</v>
      </c>
      <c r="E19" s="6" t="s">
        <v>165</v>
      </c>
      <c r="F19" s="6" t="s">
        <v>166</v>
      </c>
      <c r="G19" s="6" t="s">
        <v>167</v>
      </c>
      <c r="H19" s="6">
        <v>2023</v>
      </c>
    </row>
    <row r="20" spans="2:8" ht="17" thickBot="1" x14ac:dyDescent="0.45">
      <c r="B20" s="9" t="s">
        <v>19</v>
      </c>
      <c r="C20" s="6" t="s">
        <v>19</v>
      </c>
      <c r="D20" s="6" t="s">
        <v>168</v>
      </c>
      <c r="E20" s="6" t="s">
        <v>169</v>
      </c>
      <c r="F20" s="7" t="s">
        <v>170</v>
      </c>
      <c r="G20" s="7" t="s">
        <v>171</v>
      </c>
      <c r="H20" s="6">
        <v>2024</v>
      </c>
    </row>
    <row r="21" spans="2:8" ht="17" thickBot="1" x14ac:dyDescent="0.45">
      <c r="B21" s="9" t="s">
        <v>20</v>
      </c>
      <c r="C21" s="6" t="s">
        <v>172</v>
      </c>
      <c r="D21" s="6" t="s">
        <v>173</v>
      </c>
      <c r="E21" s="6" t="s">
        <v>174</v>
      </c>
      <c r="F21" s="6" t="s">
        <v>175</v>
      </c>
      <c r="G21" s="6" t="s">
        <v>176</v>
      </c>
      <c r="H21" s="6">
        <v>2024</v>
      </c>
    </row>
    <row r="22" spans="2:8" ht="17" thickBot="1" x14ac:dyDescent="0.45">
      <c r="B22" s="9" t="s">
        <v>21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181</v>
      </c>
      <c r="H22" s="6">
        <v>2024</v>
      </c>
    </row>
    <row r="23" spans="2:8" ht="17" thickBot="1" x14ac:dyDescent="0.45">
      <c r="B23" s="9" t="s">
        <v>22</v>
      </c>
      <c r="C23" s="6" t="s">
        <v>182</v>
      </c>
      <c r="D23" s="6" t="s">
        <v>96</v>
      </c>
      <c r="E23" s="6" t="s">
        <v>183</v>
      </c>
      <c r="F23" s="6" t="s">
        <v>184</v>
      </c>
      <c r="G23" s="6" t="s">
        <v>185</v>
      </c>
      <c r="H23" s="6">
        <v>2024</v>
      </c>
    </row>
    <row r="24" spans="2:8" ht="17" thickBot="1" x14ac:dyDescent="0.45">
      <c r="B24" s="9" t="s">
        <v>23</v>
      </c>
      <c r="C24" s="6" t="s">
        <v>186</v>
      </c>
      <c r="D24" s="6" t="s">
        <v>115</v>
      </c>
      <c r="E24" s="6" t="s">
        <v>187</v>
      </c>
      <c r="F24" s="6" t="s">
        <v>188</v>
      </c>
      <c r="G24" s="6" t="s">
        <v>189</v>
      </c>
      <c r="H24" s="6">
        <v>2024</v>
      </c>
    </row>
    <row r="25" spans="2:8" ht="17" thickBot="1" x14ac:dyDescent="0.45">
      <c r="B25" s="9" t="s">
        <v>190</v>
      </c>
      <c r="C25" s="6" t="s">
        <v>191</v>
      </c>
      <c r="D25" s="6" t="s">
        <v>192</v>
      </c>
      <c r="E25" s="6" t="s">
        <v>193</v>
      </c>
      <c r="F25" s="6" t="s">
        <v>194</v>
      </c>
      <c r="G25" s="6" t="s">
        <v>195</v>
      </c>
      <c r="H25" s="6">
        <v>2023</v>
      </c>
    </row>
    <row r="26" spans="2:8" ht="17" thickBot="1" x14ac:dyDescent="0.45">
      <c r="B26" s="9" t="s">
        <v>24</v>
      </c>
      <c r="C26" s="6" t="s">
        <v>196</v>
      </c>
      <c r="D26" s="6" t="s">
        <v>197</v>
      </c>
      <c r="E26" s="6" t="s">
        <v>198</v>
      </c>
      <c r="F26" s="6" t="s">
        <v>199</v>
      </c>
      <c r="G26" s="6" t="s">
        <v>200</v>
      </c>
      <c r="H26" s="6">
        <v>2024</v>
      </c>
    </row>
    <row r="27" spans="2:8" ht="17" thickBot="1" x14ac:dyDescent="0.45">
      <c r="B27" s="9" t="s">
        <v>201</v>
      </c>
      <c r="C27" s="6" t="s">
        <v>202</v>
      </c>
      <c r="D27" s="6" t="s">
        <v>203</v>
      </c>
      <c r="E27" s="6" t="s">
        <v>204</v>
      </c>
      <c r="F27" s="6" t="s">
        <v>205</v>
      </c>
      <c r="G27" s="6" t="s">
        <v>206</v>
      </c>
      <c r="H27" s="6">
        <v>2023</v>
      </c>
    </row>
    <row r="28" spans="2:8" ht="17" thickBot="1" x14ac:dyDescent="0.45">
      <c r="B28" s="9" t="s">
        <v>25</v>
      </c>
      <c r="C28" s="6" t="s">
        <v>207</v>
      </c>
      <c r="D28" s="6" t="s">
        <v>115</v>
      </c>
      <c r="E28" s="6" t="s">
        <v>208</v>
      </c>
      <c r="F28" s="6" t="s">
        <v>209</v>
      </c>
      <c r="G28" s="6" t="s">
        <v>210</v>
      </c>
      <c r="H28" s="6">
        <v>2023</v>
      </c>
    </row>
    <row r="29" spans="2:8" ht="17" thickBot="1" x14ac:dyDescent="0.45">
      <c r="B29" s="9" t="s">
        <v>211</v>
      </c>
      <c r="C29" s="6" t="s">
        <v>212</v>
      </c>
      <c r="D29" s="6" t="s">
        <v>213</v>
      </c>
      <c r="E29" s="6" t="s">
        <v>214</v>
      </c>
      <c r="F29" s="6" t="s">
        <v>215</v>
      </c>
      <c r="G29" s="6" t="s">
        <v>216</v>
      </c>
      <c r="H29" s="6">
        <v>2023</v>
      </c>
    </row>
    <row r="30" spans="2:8" ht="17" thickBot="1" x14ac:dyDescent="0.45">
      <c r="B30" s="9" t="s">
        <v>217</v>
      </c>
      <c r="C30" s="6" t="s">
        <v>218</v>
      </c>
      <c r="D30" s="6" t="s">
        <v>219</v>
      </c>
      <c r="E30" s="6" t="s">
        <v>220</v>
      </c>
      <c r="F30" s="6" t="s">
        <v>221</v>
      </c>
      <c r="G30" s="6" t="s">
        <v>222</v>
      </c>
      <c r="H30" s="6">
        <v>2023</v>
      </c>
    </row>
    <row r="31" spans="2:8" ht="17" thickBot="1" x14ac:dyDescent="0.45">
      <c r="B31" s="9" t="s">
        <v>223</v>
      </c>
      <c r="C31" s="6" t="s">
        <v>26</v>
      </c>
      <c r="D31" s="6" t="s">
        <v>115</v>
      </c>
      <c r="E31" s="6" t="s">
        <v>224</v>
      </c>
      <c r="F31" s="6" t="s">
        <v>225</v>
      </c>
      <c r="G31" s="6" t="s">
        <v>226</v>
      </c>
      <c r="H31" s="6">
        <v>2024</v>
      </c>
    </row>
    <row r="32" spans="2:8" ht="17" thickBot="1" x14ac:dyDescent="0.45">
      <c r="B32" s="9" t="s">
        <v>27</v>
      </c>
      <c r="C32" s="6" t="s">
        <v>227</v>
      </c>
      <c r="D32" s="6" t="s">
        <v>203</v>
      </c>
      <c r="E32" s="6" t="s">
        <v>228</v>
      </c>
      <c r="F32" s="6" t="s">
        <v>229</v>
      </c>
      <c r="G32" s="6" t="s">
        <v>230</v>
      </c>
      <c r="H32" s="6">
        <v>2023</v>
      </c>
    </row>
    <row r="33" spans="2:8" ht="17" thickBot="1" x14ac:dyDescent="0.45">
      <c r="B33" s="9" t="s">
        <v>28</v>
      </c>
      <c r="C33" s="6" t="s">
        <v>231</v>
      </c>
      <c r="D33" s="6" t="s">
        <v>232</v>
      </c>
      <c r="E33" s="6" t="s">
        <v>233</v>
      </c>
      <c r="F33" s="6" t="s">
        <v>234</v>
      </c>
      <c r="G33" s="6" t="s">
        <v>235</v>
      </c>
      <c r="H33" s="6">
        <v>2023</v>
      </c>
    </row>
    <row r="34" spans="2:8" ht="17" thickBot="1" x14ac:dyDescent="0.45">
      <c r="B34" s="9" t="s">
        <v>236</v>
      </c>
      <c r="C34" s="6" t="s">
        <v>237</v>
      </c>
      <c r="D34" s="6" t="s">
        <v>238</v>
      </c>
      <c r="E34" s="6" t="s">
        <v>239</v>
      </c>
      <c r="F34" s="6" t="s">
        <v>240</v>
      </c>
      <c r="G34" s="6" t="s">
        <v>241</v>
      </c>
      <c r="H34" s="6">
        <v>2023</v>
      </c>
    </row>
    <row r="35" spans="2:8" ht="17" thickBot="1" x14ac:dyDescent="0.45">
      <c r="B35" s="9" t="s">
        <v>29</v>
      </c>
      <c r="C35" s="6" t="s">
        <v>242</v>
      </c>
      <c r="D35" s="6" t="s">
        <v>243</v>
      </c>
      <c r="E35" s="6" t="s">
        <v>244</v>
      </c>
      <c r="F35" s="6" t="s">
        <v>245</v>
      </c>
      <c r="G35" s="6" t="s">
        <v>246</v>
      </c>
      <c r="H35" s="6">
        <v>2024</v>
      </c>
    </row>
    <row r="36" spans="2:8" ht="18" thickBot="1" x14ac:dyDescent="0.45">
      <c r="B36" s="25" t="s">
        <v>694</v>
      </c>
      <c r="C36" s="26" t="s">
        <v>695</v>
      </c>
      <c r="D36" s="27" t="s">
        <v>696</v>
      </c>
      <c r="E36" s="28" t="s">
        <v>697</v>
      </c>
      <c r="F36" s="26"/>
      <c r="G36" s="28"/>
      <c r="H36" s="28"/>
    </row>
    <row r="37" spans="2:8" ht="17" thickBot="1" x14ac:dyDescent="0.45">
      <c r="B37" s="9" t="s">
        <v>30</v>
      </c>
      <c r="C37" s="6" t="s">
        <v>247</v>
      </c>
      <c r="D37" s="6" t="s">
        <v>115</v>
      </c>
      <c r="E37" s="6" t="s">
        <v>248</v>
      </c>
      <c r="F37" s="6" t="s">
        <v>249</v>
      </c>
      <c r="G37" s="6" t="s">
        <v>250</v>
      </c>
      <c r="H37" s="6">
        <v>2024</v>
      </c>
    </row>
    <row r="38" spans="2:8" ht="17" thickBot="1" x14ac:dyDescent="0.45">
      <c r="B38" s="9" t="s">
        <v>31</v>
      </c>
      <c r="C38" s="6" t="s">
        <v>251</v>
      </c>
      <c r="D38" s="6" t="s">
        <v>252</v>
      </c>
      <c r="E38" s="6" t="s">
        <v>253</v>
      </c>
      <c r="F38" s="6" t="s">
        <v>254</v>
      </c>
      <c r="G38" s="6" t="s">
        <v>255</v>
      </c>
      <c r="H38" s="6">
        <v>2023</v>
      </c>
    </row>
    <row r="39" spans="2:8" ht="17" thickBot="1" x14ac:dyDescent="0.45">
      <c r="B39" s="9" t="s">
        <v>32</v>
      </c>
      <c r="C39" s="6" t="s">
        <v>256</v>
      </c>
      <c r="D39" s="6" t="s">
        <v>106</v>
      </c>
      <c r="E39" s="6" t="s">
        <v>257</v>
      </c>
      <c r="F39" s="6" t="s">
        <v>258</v>
      </c>
      <c r="G39" s="6" t="s">
        <v>259</v>
      </c>
      <c r="H39" s="6">
        <v>2023</v>
      </c>
    </row>
    <row r="40" spans="2:8" ht="17" thickBot="1" x14ac:dyDescent="0.45">
      <c r="B40" s="9" t="s">
        <v>33</v>
      </c>
      <c r="C40" s="6" t="s">
        <v>260</v>
      </c>
      <c r="D40" s="6" t="s">
        <v>261</v>
      </c>
      <c r="E40" s="6" t="s">
        <v>262</v>
      </c>
      <c r="F40" s="6" t="s">
        <v>263</v>
      </c>
      <c r="G40" s="6" t="s">
        <v>264</v>
      </c>
      <c r="H40" s="6">
        <v>2023</v>
      </c>
    </row>
    <row r="41" spans="2:8" ht="17" thickBot="1" x14ac:dyDescent="0.45">
      <c r="B41" s="9" t="s">
        <v>34</v>
      </c>
      <c r="C41" s="6" t="s">
        <v>265</v>
      </c>
      <c r="D41" s="6" t="s">
        <v>106</v>
      </c>
      <c r="E41" s="6" t="s">
        <v>266</v>
      </c>
      <c r="F41" s="6" t="s">
        <v>267</v>
      </c>
      <c r="G41" s="6" t="s">
        <v>268</v>
      </c>
      <c r="H41" s="6">
        <v>2024</v>
      </c>
    </row>
    <row r="42" spans="2:8" ht="17" thickBot="1" x14ac:dyDescent="0.45">
      <c r="B42" s="9" t="s">
        <v>269</v>
      </c>
      <c r="C42" s="6" t="s">
        <v>269</v>
      </c>
      <c r="D42" s="6" t="s">
        <v>125</v>
      </c>
      <c r="E42" s="6" t="s">
        <v>270</v>
      </c>
      <c r="F42" s="6" t="s">
        <v>271</v>
      </c>
      <c r="G42" s="6" t="s">
        <v>272</v>
      </c>
      <c r="H42" s="6">
        <v>2023</v>
      </c>
    </row>
    <row r="43" spans="2:8" ht="17" thickBot="1" x14ac:dyDescent="0.45">
      <c r="B43" s="9" t="s">
        <v>35</v>
      </c>
      <c r="C43" s="6" t="s">
        <v>273</v>
      </c>
      <c r="D43" s="6" t="s">
        <v>125</v>
      </c>
      <c r="E43" s="6" t="s">
        <v>274</v>
      </c>
      <c r="F43" s="6" t="s">
        <v>275</v>
      </c>
      <c r="G43" s="6" t="s">
        <v>276</v>
      </c>
      <c r="H43" s="6">
        <v>2023</v>
      </c>
    </row>
    <row r="44" spans="2:8" ht="17" thickBot="1" x14ac:dyDescent="0.45">
      <c r="B44" s="9" t="s">
        <v>36</v>
      </c>
      <c r="C44" s="6" t="s">
        <v>277</v>
      </c>
      <c r="D44" s="6" t="s">
        <v>278</v>
      </c>
      <c r="E44" s="6" t="s">
        <v>279</v>
      </c>
      <c r="F44" s="6" t="s">
        <v>280</v>
      </c>
      <c r="G44" s="6" t="s">
        <v>281</v>
      </c>
      <c r="H44" s="6">
        <v>2024</v>
      </c>
    </row>
    <row r="45" spans="2:8" ht="17" thickBot="1" x14ac:dyDescent="0.45">
      <c r="B45" s="9" t="s">
        <v>282</v>
      </c>
      <c r="C45" s="6" t="s">
        <v>283</v>
      </c>
      <c r="D45" s="6" t="s">
        <v>86</v>
      </c>
      <c r="E45" s="6" t="s">
        <v>284</v>
      </c>
      <c r="F45" s="6" t="s">
        <v>285</v>
      </c>
      <c r="G45" s="6" t="s">
        <v>286</v>
      </c>
      <c r="H45" s="6">
        <v>2023</v>
      </c>
    </row>
    <row r="46" spans="2:8" ht="17" thickBot="1" x14ac:dyDescent="0.45">
      <c r="B46" s="9" t="s">
        <v>287</v>
      </c>
      <c r="C46" s="6" t="s">
        <v>288</v>
      </c>
      <c r="D46" s="6" t="s">
        <v>125</v>
      </c>
      <c r="E46" s="6" t="s">
        <v>289</v>
      </c>
      <c r="F46" s="6" t="s">
        <v>290</v>
      </c>
      <c r="G46" s="6" t="s">
        <v>291</v>
      </c>
      <c r="H46" s="6">
        <v>2023</v>
      </c>
    </row>
    <row r="47" spans="2:8" ht="17" thickBot="1" x14ac:dyDescent="0.45">
      <c r="B47" s="9" t="s">
        <v>37</v>
      </c>
      <c r="C47" s="6" t="s">
        <v>292</v>
      </c>
      <c r="D47" s="6" t="s">
        <v>293</v>
      </c>
      <c r="E47" s="6" t="s">
        <v>294</v>
      </c>
      <c r="F47" s="6" t="s">
        <v>295</v>
      </c>
      <c r="G47" s="6" t="s">
        <v>296</v>
      </c>
      <c r="H47" s="6">
        <v>2024</v>
      </c>
    </row>
    <row r="48" spans="2:8" ht="17" thickBot="1" x14ac:dyDescent="0.45">
      <c r="B48" s="9" t="s">
        <v>297</v>
      </c>
      <c r="C48" s="6" t="s">
        <v>298</v>
      </c>
      <c r="D48" s="6" t="s">
        <v>299</v>
      </c>
      <c r="E48" s="6" t="s">
        <v>300</v>
      </c>
      <c r="F48" s="6" t="s">
        <v>301</v>
      </c>
      <c r="G48" s="6" t="s">
        <v>302</v>
      </c>
      <c r="H48" s="6">
        <v>2023</v>
      </c>
    </row>
    <row r="49" spans="2:8" ht="17" thickBot="1" x14ac:dyDescent="0.45">
      <c r="B49" s="9" t="s">
        <v>38</v>
      </c>
      <c r="C49" s="6" t="s">
        <v>303</v>
      </c>
      <c r="D49" s="6" t="s">
        <v>150</v>
      </c>
      <c r="E49" s="6" t="s">
        <v>304</v>
      </c>
      <c r="F49" s="6" t="s">
        <v>305</v>
      </c>
      <c r="G49" s="6" t="s">
        <v>306</v>
      </c>
      <c r="H49" s="6">
        <v>2024</v>
      </c>
    </row>
    <row r="50" spans="2:8" ht="17" thickBot="1" x14ac:dyDescent="0.45">
      <c r="B50" s="9" t="s">
        <v>307</v>
      </c>
      <c r="C50" s="6" t="s">
        <v>39</v>
      </c>
      <c r="D50" s="6" t="s">
        <v>308</v>
      </c>
      <c r="E50" s="6" t="s">
        <v>309</v>
      </c>
      <c r="F50" s="6" t="s">
        <v>310</v>
      </c>
      <c r="G50" s="6" t="s">
        <v>311</v>
      </c>
      <c r="H50" s="6">
        <v>2023</v>
      </c>
    </row>
    <row r="51" spans="2:8" ht="17" thickBot="1" x14ac:dyDescent="0.45">
      <c r="B51" s="9" t="s">
        <v>40</v>
      </c>
      <c r="C51" s="6" t="s">
        <v>312</v>
      </c>
      <c r="D51" s="6" t="s">
        <v>173</v>
      </c>
      <c r="E51" s="6" t="s">
        <v>313</v>
      </c>
      <c r="F51" s="6" t="s">
        <v>314</v>
      </c>
      <c r="G51" s="6" t="s">
        <v>315</v>
      </c>
      <c r="H51" s="6">
        <v>2023</v>
      </c>
    </row>
    <row r="52" spans="2:8" ht="17" thickBot="1" x14ac:dyDescent="0.45">
      <c r="B52" s="9" t="s">
        <v>41</v>
      </c>
      <c r="C52" s="6" t="s">
        <v>316</v>
      </c>
      <c r="D52" s="6" t="s">
        <v>130</v>
      </c>
      <c r="E52" s="6" t="s">
        <v>317</v>
      </c>
      <c r="F52" s="6" t="s">
        <v>318</v>
      </c>
      <c r="G52" s="6" t="s">
        <v>319</v>
      </c>
      <c r="H52" s="6">
        <v>2023</v>
      </c>
    </row>
    <row r="53" spans="2:8" ht="17" thickBot="1" x14ac:dyDescent="0.45">
      <c r="B53" s="9" t="s">
        <v>320</v>
      </c>
      <c r="C53" s="6" t="s">
        <v>321</v>
      </c>
      <c r="D53" s="6" t="s">
        <v>243</v>
      </c>
      <c r="E53" s="6" t="s">
        <v>322</v>
      </c>
      <c r="F53" s="6" t="s">
        <v>323</v>
      </c>
      <c r="G53" s="6" t="s">
        <v>324</v>
      </c>
      <c r="H53" s="6">
        <v>2023</v>
      </c>
    </row>
    <row r="54" spans="2:8" ht="17" thickBot="1" x14ac:dyDescent="0.45">
      <c r="B54" s="9" t="s">
        <v>42</v>
      </c>
      <c r="C54" s="6" t="s">
        <v>325</v>
      </c>
      <c r="D54" s="6" t="s">
        <v>86</v>
      </c>
      <c r="E54" s="6" t="s">
        <v>326</v>
      </c>
      <c r="F54" s="6" t="s">
        <v>327</v>
      </c>
      <c r="G54" s="6" t="s">
        <v>328</v>
      </c>
      <c r="H54" s="6">
        <v>2024</v>
      </c>
    </row>
    <row r="55" spans="2:8" ht="17" thickBot="1" x14ac:dyDescent="0.45">
      <c r="B55" s="9" t="s">
        <v>329</v>
      </c>
      <c r="C55" s="6" t="s">
        <v>330</v>
      </c>
      <c r="D55" s="6" t="s">
        <v>115</v>
      </c>
      <c r="E55" s="6" t="s">
        <v>331</v>
      </c>
      <c r="F55" s="6" t="s">
        <v>332</v>
      </c>
      <c r="G55" s="6" t="s">
        <v>333</v>
      </c>
      <c r="H55" s="6">
        <v>2023</v>
      </c>
    </row>
    <row r="56" spans="2:8" ht="17" thickBot="1" x14ac:dyDescent="0.45">
      <c r="B56" s="9" t="s">
        <v>334</v>
      </c>
      <c r="C56" s="6" t="s">
        <v>335</v>
      </c>
      <c r="D56" s="6" t="s">
        <v>243</v>
      </c>
      <c r="E56" s="6" t="s">
        <v>336</v>
      </c>
      <c r="F56" s="6" t="s">
        <v>337</v>
      </c>
      <c r="G56" s="6" t="s">
        <v>338</v>
      </c>
      <c r="H56" s="6">
        <v>2024</v>
      </c>
    </row>
    <row r="57" spans="2:8" ht="17" thickBot="1" x14ac:dyDescent="0.45">
      <c r="B57" s="9" t="s">
        <v>43</v>
      </c>
      <c r="C57" s="6" t="s">
        <v>339</v>
      </c>
      <c r="D57" s="6" t="s">
        <v>340</v>
      </c>
      <c r="E57" s="6" t="s">
        <v>341</v>
      </c>
      <c r="F57" s="6" t="s">
        <v>342</v>
      </c>
      <c r="G57" s="6" t="s">
        <v>343</v>
      </c>
      <c r="H57" s="6">
        <v>2024</v>
      </c>
    </row>
    <row r="58" spans="2:8" ht="17" thickBot="1" x14ac:dyDescent="0.45">
      <c r="B58" s="9" t="s">
        <v>44</v>
      </c>
      <c r="C58" s="6" t="s">
        <v>344</v>
      </c>
      <c r="D58" s="6" t="s">
        <v>345</v>
      </c>
      <c r="E58" s="6" t="s">
        <v>346</v>
      </c>
      <c r="F58" s="6" t="s">
        <v>347</v>
      </c>
      <c r="G58" s="6" t="s">
        <v>348</v>
      </c>
      <c r="H58" s="6">
        <v>2023</v>
      </c>
    </row>
    <row r="59" spans="2:8" ht="17" thickBot="1" x14ac:dyDescent="0.45">
      <c r="B59" s="9" t="s">
        <v>45</v>
      </c>
      <c r="C59" s="6" t="s">
        <v>349</v>
      </c>
      <c r="D59" s="6" t="s">
        <v>350</v>
      </c>
      <c r="E59" s="6" t="s">
        <v>351</v>
      </c>
      <c r="F59" s="6" t="s">
        <v>352</v>
      </c>
      <c r="G59" s="6" t="s">
        <v>353</v>
      </c>
      <c r="H59" s="6">
        <v>2024</v>
      </c>
    </row>
    <row r="60" spans="2:8" ht="17" thickBot="1" x14ac:dyDescent="0.45">
      <c r="B60" s="9" t="s">
        <v>46</v>
      </c>
      <c r="C60" s="6" t="s">
        <v>354</v>
      </c>
      <c r="D60" s="6" t="s">
        <v>135</v>
      </c>
      <c r="E60" s="6" t="s">
        <v>355</v>
      </c>
      <c r="F60" s="6" t="s">
        <v>356</v>
      </c>
      <c r="G60" s="6" t="s">
        <v>357</v>
      </c>
      <c r="H60" s="6">
        <v>2023</v>
      </c>
    </row>
    <row r="61" spans="2:8" ht="17" thickBot="1" x14ac:dyDescent="0.45">
      <c r="B61" s="9" t="s">
        <v>47</v>
      </c>
      <c r="C61" s="6" t="s">
        <v>358</v>
      </c>
      <c r="D61" s="6" t="s">
        <v>150</v>
      </c>
      <c r="E61" s="6" t="s">
        <v>359</v>
      </c>
      <c r="F61" s="6" t="s">
        <v>360</v>
      </c>
      <c r="G61" s="6" t="s">
        <v>361</v>
      </c>
      <c r="H61" s="6">
        <v>2024</v>
      </c>
    </row>
    <row r="62" spans="2:8" ht="17" thickBot="1" x14ac:dyDescent="0.45">
      <c r="B62" s="9" t="s">
        <v>362</v>
      </c>
      <c r="C62" s="6" t="s">
        <v>363</v>
      </c>
      <c r="D62" s="6" t="s">
        <v>350</v>
      </c>
      <c r="E62" s="6" t="s">
        <v>364</v>
      </c>
      <c r="F62" s="6" t="s">
        <v>365</v>
      </c>
      <c r="G62" s="6" t="s">
        <v>366</v>
      </c>
      <c r="H62" s="6">
        <v>2024</v>
      </c>
    </row>
    <row r="63" spans="2:8" ht="17" thickBot="1" x14ac:dyDescent="0.45">
      <c r="B63" s="9" t="s">
        <v>367</v>
      </c>
      <c r="C63" s="6" t="s">
        <v>368</v>
      </c>
      <c r="D63" s="6" t="s">
        <v>86</v>
      </c>
      <c r="E63" s="6" t="s">
        <v>369</v>
      </c>
      <c r="F63" s="6" t="s">
        <v>370</v>
      </c>
      <c r="G63" s="6" t="s">
        <v>371</v>
      </c>
      <c r="H63" s="6">
        <v>2024</v>
      </c>
    </row>
    <row r="64" spans="2:8" ht="17" thickBot="1" x14ac:dyDescent="0.45">
      <c r="B64" s="9" t="s">
        <v>48</v>
      </c>
      <c r="C64" s="6" t="s">
        <v>372</v>
      </c>
      <c r="D64" s="6" t="s">
        <v>86</v>
      </c>
      <c r="E64" s="6" t="s">
        <v>373</v>
      </c>
      <c r="F64" s="6" t="s">
        <v>374</v>
      </c>
      <c r="G64" s="6" t="s">
        <v>375</v>
      </c>
      <c r="H64" s="6">
        <v>2024</v>
      </c>
    </row>
    <row r="65" spans="2:8" ht="17" thickBot="1" x14ac:dyDescent="0.45">
      <c r="B65" s="9" t="s">
        <v>49</v>
      </c>
      <c r="C65" s="6" t="s">
        <v>376</v>
      </c>
      <c r="D65" s="6" t="s">
        <v>377</v>
      </c>
      <c r="E65" s="6" t="s">
        <v>378</v>
      </c>
      <c r="F65" s="6" t="s">
        <v>379</v>
      </c>
      <c r="G65" s="6" t="s">
        <v>380</v>
      </c>
      <c r="H65" s="6">
        <v>2024</v>
      </c>
    </row>
    <row r="66" spans="2:8" ht="17" thickBot="1" x14ac:dyDescent="0.45">
      <c r="B66" s="9" t="s">
        <v>50</v>
      </c>
      <c r="C66" s="6" t="s">
        <v>381</v>
      </c>
      <c r="D66" s="6" t="s">
        <v>141</v>
      </c>
      <c r="E66" s="6" t="s">
        <v>382</v>
      </c>
      <c r="F66" s="6" t="s">
        <v>383</v>
      </c>
      <c r="G66" s="6" t="s">
        <v>384</v>
      </c>
      <c r="H66" s="6">
        <v>2024</v>
      </c>
    </row>
    <row r="67" spans="2:8" ht="17" thickBot="1" x14ac:dyDescent="0.45">
      <c r="B67" s="9" t="s">
        <v>51</v>
      </c>
      <c r="C67" s="6" t="s">
        <v>385</v>
      </c>
      <c r="D67" s="6" t="s">
        <v>386</v>
      </c>
      <c r="E67" s="6" t="s">
        <v>387</v>
      </c>
      <c r="F67" s="6" t="s">
        <v>388</v>
      </c>
      <c r="G67" s="6" t="s">
        <v>389</v>
      </c>
      <c r="H67" s="6">
        <v>2023</v>
      </c>
    </row>
    <row r="68" spans="2:8" ht="17" thickBot="1" x14ac:dyDescent="0.45">
      <c r="B68" s="9" t="s">
        <v>52</v>
      </c>
      <c r="C68" s="6" t="s">
        <v>390</v>
      </c>
      <c r="D68" s="6" t="s">
        <v>197</v>
      </c>
      <c r="E68" s="6" t="s">
        <v>391</v>
      </c>
      <c r="F68" s="6" t="s">
        <v>392</v>
      </c>
      <c r="G68" s="6" t="s">
        <v>393</v>
      </c>
      <c r="H68" s="6">
        <v>2024</v>
      </c>
    </row>
    <row r="69" spans="2:8" ht="17" thickBot="1" x14ac:dyDescent="0.45">
      <c r="B69" s="9" t="s">
        <v>53</v>
      </c>
      <c r="C69" s="6" t="s">
        <v>394</v>
      </c>
      <c r="D69" s="6" t="s">
        <v>150</v>
      </c>
      <c r="E69" s="6" t="s">
        <v>395</v>
      </c>
      <c r="F69" s="6" t="s">
        <v>396</v>
      </c>
      <c r="G69" s="6" t="s">
        <v>397</v>
      </c>
      <c r="H69" s="6">
        <v>2024</v>
      </c>
    </row>
    <row r="70" spans="2:8" ht="17" thickBot="1" x14ac:dyDescent="0.45">
      <c r="B70" s="9" t="s">
        <v>398</v>
      </c>
      <c r="C70" s="6" t="s">
        <v>399</v>
      </c>
      <c r="D70" s="6" t="s">
        <v>340</v>
      </c>
      <c r="E70" s="6" t="s">
        <v>400</v>
      </c>
      <c r="F70" s="6" t="s">
        <v>401</v>
      </c>
      <c r="G70" s="6" t="s">
        <v>402</v>
      </c>
      <c r="H70" s="6">
        <v>2024</v>
      </c>
    </row>
    <row r="71" spans="2:8" ht="17" thickBot="1" x14ac:dyDescent="0.45">
      <c r="B71" s="9" t="s">
        <v>54</v>
      </c>
      <c r="C71" s="6" t="s">
        <v>403</v>
      </c>
      <c r="D71" s="6" t="s">
        <v>130</v>
      </c>
      <c r="E71" s="6" t="s">
        <v>404</v>
      </c>
      <c r="F71" s="6" t="s">
        <v>405</v>
      </c>
      <c r="G71" s="6" t="s">
        <v>406</v>
      </c>
      <c r="H71" s="6">
        <v>2024</v>
      </c>
    </row>
    <row r="72" spans="2:8" ht="17" thickBot="1" x14ac:dyDescent="0.45">
      <c r="B72" s="9" t="s">
        <v>55</v>
      </c>
      <c r="C72" s="6" t="s">
        <v>407</v>
      </c>
      <c r="D72" s="6" t="s">
        <v>86</v>
      </c>
      <c r="E72" s="6" t="s">
        <v>408</v>
      </c>
      <c r="F72" s="6" t="s">
        <v>409</v>
      </c>
      <c r="G72" s="6" t="s">
        <v>410</v>
      </c>
      <c r="H72" s="6">
        <v>2023</v>
      </c>
    </row>
    <row r="73" spans="2:8" ht="17" thickBot="1" x14ac:dyDescent="0.45">
      <c r="B73" s="9" t="s">
        <v>56</v>
      </c>
      <c r="C73" s="6" t="s">
        <v>411</v>
      </c>
      <c r="D73" s="6" t="s">
        <v>155</v>
      </c>
      <c r="E73" s="6" t="s">
        <v>412</v>
      </c>
      <c r="F73" s="6" t="s">
        <v>413</v>
      </c>
      <c r="G73" s="6" t="s">
        <v>414</v>
      </c>
      <c r="H73" s="6">
        <v>2024</v>
      </c>
    </row>
    <row r="74" spans="2:8" ht="17" thickBot="1" x14ac:dyDescent="0.45">
      <c r="B74" s="9" t="s">
        <v>57</v>
      </c>
      <c r="C74" s="6" t="s">
        <v>415</v>
      </c>
      <c r="D74" s="6" t="s">
        <v>135</v>
      </c>
      <c r="E74" s="6" t="s">
        <v>416</v>
      </c>
      <c r="F74" s="6" t="s">
        <v>417</v>
      </c>
      <c r="G74" s="6" t="s">
        <v>418</v>
      </c>
      <c r="H74" s="6">
        <v>2023</v>
      </c>
    </row>
    <row r="75" spans="2:8" ht="17" thickBot="1" x14ac:dyDescent="0.45">
      <c r="B75" s="9" t="s">
        <v>58</v>
      </c>
      <c r="C75" s="6" t="s">
        <v>419</v>
      </c>
      <c r="D75" s="6" t="s">
        <v>135</v>
      </c>
      <c r="E75" s="6" t="s">
        <v>420</v>
      </c>
      <c r="F75" s="6" t="s">
        <v>421</v>
      </c>
      <c r="G75" s="6" t="s">
        <v>422</v>
      </c>
      <c r="H75" s="6">
        <v>2023</v>
      </c>
    </row>
    <row r="76" spans="2:8" ht="17" thickBot="1" x14ac:dyDescent="0.45">
      <c r="B76" s="9" t="s">
        <v>59</v>
      </c>
      <c r="C76" s="6" t="s">
        <v>423</v>
      </c>
      <c r="D76" s="6" t="s">
        <v>155</v>
      </c>
      <c r="E76" s="6" t="s">
        <v>424</v>
      </c>
      <c r="F76" s="6" t="s">
        <v>425</v>
      </c>
      <c r="G76" s="6" t="s">
        <v>426</v>
      </c>
      <c r="H76" s="6">
        <v>2023</v>
      </c>
    </row>
    <row r="77" spans="2:8" ht="17" thickBot="1" x14ac:dyDescent="0.45">
      <c r="B77" s="9" t="s">
        <v>60</v>
      </c>
      <c r="C77" s="6" t="s">
        <v>427</v>
      </c>
      <c r="D77" s="6" t="s">
        <v>130</v>
      </c>
      <c r="E77" s="6" t="s">
        <v>428</v>
      </c>
      <c r="F77" s="6" t="s">
        <v>429</v>
      </c>
      <c r="G77" s="6" t="s">
        <v>430</v>
      </c>
      <c r="H77" s="6">
        <v>2023</v>
      </c>
    </row>
    <row r="78" spans="2:8" ht="17" thickBot="1" x14ac:dyDescent="0.45">
      <c r="B78" s="9" t="s">
        <v>61</v>
      </c>
      <c r="C78" s="6" t="s">
        <v>431</v>
      </c>
      <c r="D78" s="6" t="s">
        <v>115</v>
      </c>
      <c r="E78" s="6" t="s">
        <v>432</v>
      </c>
      <c r="F78" s="6" t="s">
        <v>433</v>
      </c>
      <c r="G78" s="6" t="s">
        <v>434</v>
      </c>
      <c r="H78" s="6">
        <v>2024</v>
      </c>
    </row>
    <row r="79" spans="2:8" ht="17" thickBot="1" x14ac:dyDescent="0.45">
      <c r="B79" s="9" t="s">
        <v>62</v>
      </c>
      <c r="C79" s="6" t="s">
        <v>435</v>
      </c>
      <c r="D79" s="6" t="s">
        <v>130</v>
      </c>
      <c r="E79" s="6" t="s">
        <v>436</v>
      </c>
      <c r="F79" s="6" t="s">
        <v>437</v>
      </c>
      <c r="G79" s="6" t="s">
        <v>438</v>
      </c>
      <c r="H79" s="6">
        <v>2024</v>
      </c>
    </row>
    <row r="80" spans="2:8" ht="17" thickBot="1" x14ac:dyDescent="0.45">
      <c r="B80" s="9" t="s">
        <v>439</v>
      </c>
      <c r="C80" s="6" t="s">
        <v>440</v>
      </c>
      <c r="D80" s="6" t="s">
        <v>106</v>
      </c>
      <c r="E80" s="6" t="s">
        <v>441</v>
      </c>
      <c r="F80" s="6" t="s">
        <v>442</v>
      </c>
      <c r="G80" s="6" t="s">
        <v>443</v>
      </c>
      <c r="H80" s="6">
        <v>2024</v>
      </c>
    </row>
    <row r="81" spans="2:8" ht="17" thickBot="1" x14ac:dyDescent="0.45">
      <c r="B81" s="9" t="s">
        <v>63</v>
      </c>
      <c r="C81" s="6" t="s">
        <v>444</v>
      </c>
      <c r="D81" s="6" t="s">
        <v>141</v>
      </c>
      <c r="E81" s="6" t="s">
        <v>445</v>
      </c>
      <c r="F81" s="6" t="s">
        <v>446</v>
      </c>
      <c r="G81" s="6" t="s">
        <v>447</v>
      </c>
      <c r="H81" s="6">
        <v>2023</v>
      </c>
    </row>
    <row r="82" spans="2:8" ht="17" thickBot="1" x14ac:dyDescent="0.45">
      <c r="B82" s="9" t="s">
        <v>448</v>
      </c>
      <c r="C82" s="6" t="s">
        <v>449</v>
      </c>
      <c r="D82" s="6" t="s">
        <v>450</v>
      </c>
      <c r="E82" s="6" t="s">
        <v>451</v>
      </c>
      <c r="F82" s="6" t="s">
        <v>452</v>
      </c>
      <c r="G82" s="6" t="s">
        <v>453</v>
      </c>
      <c r="H82" s="6">
        <v>2023</v>
      </c>
    </row>
    <row r="83" spans="2:8" ht="17" thickBot="1" x14ac:dyDescent="0.45">
      <c r="B83" s="9" t="s">
        <v>454</v>
      </c>
      <c r="C83" s="6" t="s">
        <v>455</v>
      </c>
      <c r="D83" s="6" t="s">
        <v>377</v>
      </c>
      <c r="E83" s="6" t="s">
        <v>456</v>
      </c>
      <c r="F83" s="6" t="s">
        <v>457</v>
      </c>
      <c r="G83" s="6" t="s">
        <v>458</v>
      </c>
      <c r="H83" s="6">
        <v>2023</v>
      </c>
    </row>
    <row r="84" spans="2:8" ht="17" thickBot="1" x14ac:dyDescent="0.45">
      <c r="B84" s="9" t="s">
        <v>459</v>
      </c>
      <c r="C84" s="6" t="s">
        <v>460</v>
      </c>
      <c r="D84" s="6" t="s">
        <v>86</v>
      </c>
      <c r="E84" s="6" t="s">
        <v>461</v>
      </c>
      <c r="F84" s="6" t="s">
        <v>462</v>
      </c>
      <c r="G84" s="6" t="s">
        <v>463</v>
      </c>
      <c r="H84" s="6">
        <v>2024</v>
      </c>
    </row>
    <row r="85" spans="2:8" ht="17" thickBot="1" x14ac:dyDescent="0.45">
      <c r="B85" s="9" t="s">
        <v>64</v>
      </c>
      <c r="C85" s="6" t="s">
        <v>464</v>
      </c>
      <c r="D85" s="6" t="s">
        <v>252</v>
      </c>
      <c r="E85" s="6" t="s">
        <v>465</v>
      </c>
      <c r="F85" s="6" t="s">
        <v>466</v>
      </c>
      <c r="G85" s="6" t="s">
        <v>467</v>
      </c>
      <c r="H85" s="6">
        <v>2023</v>
      </c>
    </row>
    <row r="86" spans="2:8" ht="17" thickBot="1" x14ac:dyDescent="0.45">
      <c r="B86" s="9" t="s">
        <v>65</v>
      </c>
      <c r="C86" s="6" t="s">
        <v>468</v>
      </c>
      <c r="D86" s="6" t="s">
        <v>350</v>
      </c>
      <c r="E86" s="6" t="s">
        <v>469</v>
      </c>
      <c r="F86" s="6" t="s">
        <v>470</v>
      </c>
      <c r="G86" s="6" t="s">
        <v>471</v>
      </c>
      <c r="H86" s="6">
        <v>2024</v>
      </c>
    </row>
    <row r="87" spans="2:8" ht="17" thickBot="1" x14ac:dyDescent="0.45">
      <c r="B87" s="9" t="s">
        <v>66</v>
      </c>
      <c r="C87" s="6" t="s">
        <v>472</v>
      </c>
      <c r="D87" s="6" t="s">
        <v>197</v>
      </c>
      <c r="E87" s="6" t="s">
        <v>473</v>
      </c>
      <c r="F87" s="6" t="s">
        <v>474</v>
      </c>
      <c r="G87" s="6" t="s">
        <v>475</v>
      </c>
      <c r="H87" s="6">
        <v>2024</v>
      </c>
    </row>
    <row r="88" spans="2:8" ht="17" thickBot="1" x14ac:dyDescent="0.45">
      <c r="B88" s="9" t="s">
        <v>476</v>
      </c>
      <c r="C88" s="6" t="s">
        <v>477</v>
      </c>
      <c r="D88" s="6" t="s">
        <v>168</v>
      </c>
      <c r="E88" s="6" t="s">
        <v>478</v>
      </c>
      <c r="F88" s="6" t="s">
        <v>479</v>
      </c>
      <c r="G88" s="6" t="s">
        <v>480</v>
      </c>
      <c r="H88" s="6">
        <v>2024</v>
      </c>
    </row>
    <row r="89" spans="2:8" ht="17" thickBot="1" x14ac:dyDescent="0.45">
      <c r="B89" s="9" t="s">
        <v>67</v>
      </c>
      <c r="C89" s="6" t="s">
        <v>481</v>
      </c>
      <c r="D89" s="6" t="s">
        <v>213</v>
      </c>
      <c r="E89" s="6" t="s">
        <v>482</v>
      </c>
      <c r="F89" s="6" t="s">
        <v>483</v>
      </c>
      <c r="G89" s="6" t="s">
        <v>484</v>
      </c>
      <c r="H89" s="6">
        <v>2023</v>
      </c>
    </row>
    <row r="90" spans="2:8" ht="17" thickBot="1" x14ac:dyDescent="0.45">
      <c r="B90" s="9" t="s">
        <v>68</v>
      </c>
      <c r="C90" s="6" t="s">
        <v>485</v>
      </c>
      <c r="D90" s="6" t="s">
        <v>486</v>
      </c>
      <c r="E90" s="6" t="s">
        <v>487</v>
      </c>
      <c r="F90" s="6" t="s">
        <v>488</v>
      </c>
      <c r="G90" s="6" t="s">
        <v>489</v>
      </c>
      <c r="H90" s="6">
        <v>2023</v>
      </c>
    </row>
    <row r="91" spans="2:8" ht="17" thickBot="1" x14ac:dyDescent="0.45">
      <c r="B91" s="9" t="s">
        <v>490</v>
      </c>
      <c r="C91" s="6" t="s">
        <v>491</v>
      </c>
      <c r="D91" s="6" t="s">
        <v>308</v>
      </c>
      <c r="E91" s="6" t="s">
        <v>492</v>
      </c>
      <c r="F91" s="6" t="s">
        <v>493</v>
      </c>
      <c r="G91" s="6" t="s">
        <v>494</v>
      </c>
      <c r="H91" s="6">
        <v>2023</v>
      </c>
    </row>
    <row r="92" spans="2:8" ht="17" thickBot="1" x14ac:dyDescent="0.45">
      <c r="B92" s="9" t="s">
        <v>495</v>
      </c>
      <c r="C92" s="6" t="s">
        <v>69</v>
      </c>
      <c r="D92" s="6" t="s">
        <v>496</v>
      </c>
      <c r="E92" s="6" t="s">
        <v>497</v>
      </c>
      <c r="F92" s="6" t="s">
        <v>498</v>
      </c>
      <c r="G92" s="6" t="s">
        <v>499</v>
      </c>
      <c r="H92" s="6">
        <v>2023</v>
      </c>
    </row>
    <row r="93" spans="2:8" ht="17" thickBot="1" x14ac:dyDescent="0.45">
      <c r="B93" s="9" t="s">
        <v>500</v>
      </c>
      <c r="C93" s="6" t="s">
        <v>501</v>
      </c>
      <c r="D93" s="6" t="s">
        <v>86</v>
      </c>
      <c r="E93" s="6" t="s">
        <v>502</v>
      </c>
      <c r="F93" s="6" t="s">
        <v>503</v>
      </c>
      <c r="G93" s="6" t="s">
        <v>504</v>
      </c>
      <c r="H93" s="6">
        <v>2024</v>
      </c>
    </row>
    <row r="94" spans="2:8" ht="17" thickBot="1" x14ac:dyDescent="0.45">
      <c r="B94" s="9" t="s">
        <v>70</v>
      </c>
      <c r="C94" s="6" t="s">
        <v>505</v>
      </c>
      <c r="D94" s="6" t="s">
        <v>150</v>
      </c>
      <c r="E94" s="6" t="s">
        <v>506</v>
      </c>
      <c r="F94" s="6" t="s">
        <v>507</v>
      </c>
      <c r="G94" s="6" t="s">
        <v>508</v>
      </c>
      <c r="H94" s="6">
        <v>2024</v>
      </c>
    </row>
    <row r="95" spans="2:8" ht="17" thickBot="1" x14ac:dyDescent="0.45">
      <c r="B95" s="9" t="s">
        <v>71</v>
      </c>
      <c r="C95" s="7" t="s">
        <v>509</v>
      </c>
      <c r="D95" s="6" t="s">
        <v>510</v>
      </c>
      <c r="E95" s="7" t="s">
        <v>511</v>
      </c>
      <c r="F95" s="7" t="s">
        <v>512</v>
      </c>
      <c r="G95" s="7" t="s">
        <v>513</v>
      </c>
      <c r="H95" s="6">
        <v>2024</v>
      </c>
    </row>
    <row r="96" spans="2:8" ht="17" thickBot="1" x14ac:dyDescent="0.45">
      <c r="B96" s="9" t="s">
        <v>72</v>
      </c>
      <c r="C96" s="6" t="s">
        <v>514</v>
      </c>
      <c r="D96" s="6" t="s">
        <v>377</v>
      </c>
      <c r="E96" s="6" t="s">
        <v>515</v>
      </c>
      <c r="F96" s="7" t="s">
        <v>516</v>
      </c>
      <c r="G96" s="7" t="s">
        <v>517</v>
      </c>
      <c r="H96" s="6">
        <v>2024</v>
      </c>
    </row>
    <row r="97" spans="2:8" ht="17" thickBot="1" x14ac:dyDescent="0.45">
      <c r="B97" s="9" t="s">
        <v>73</v>
      </c>
      <c r="C97" s="6" t="s">
        <v>518</v>
      </c>
      <c r="D97" s="6" t="s">
        <v>192</v>
      </c>
      <c r="E97" s="6" t="s">
        <v>519</v>
      </c>
      <c r="F97" s="6" t="s">
        <v>520</v>
      </c>
      <c r="G97" s="6" t="s">
        <v>521</v>
      </c>
      <c r="H97" s="6">
        <v>2024</v>
      </c>
    </row>
    <row r="98" spans="2:8" ht="17" thickBot="1" x14ac:dyDescent="0.45">
      <c r="B98" s="9" t="s">
        <v>522</v>
      </c>
      <c r="C98" s="7" t="s">
        <v>523</v>
      </c>
      <c r="D98" s="7" t="s">
        <v>524</v>
      </c>
      <c r="E98" s="7" t="s">
        <v>525</v>
      </c>
      <c r="F98" s="7" t="s">
        <v>526</v>
      </c>
      <c r="G98" s="7" t="s">
        <v>527</v>
      </c>
      <c r="H98" s="6">
        <v>2024</v>
      </c>
    </row>
    <row r="99" spans="2:8" ht="17" thickBot="1" x14ac:dyDescent="0.45">
      <c r="B99" s="9" t="s">
        <v>528</v>
      </c>
      <c r="C99" s="6" t="s">
        <v>529</v>
      </c>
      <c r="D99" s="6" t="s">
        <v>197</v>
      </c>
      <c r="E99" s="6" t="s">
        <v>530</v>
      </c>
      <c r="F99" s="6" t="s">
        <v>531</v>
      </c>
      <c r="G99" s="6" t="s">
        <v>532</v>
      </c>
      <c r="H99" s="6">
        <v>2023</v>
      </c>
    </row>
    <row r="100" spans="2:8" ht="17" thickBot="1" x14ac:dyDescent="0.45">
      <c r="B100" s="9" t="s">
        <v>74</v>
      </c>
      <c r="C100" s="6" t="s">
        <v>533</v>
      </c>
      <c r="D100" s="6" t="s">
        <v>534</v>
      </c>
      <c r="E100" s="6" t="s">
        <v>535</v>
      </c>
      <c r="F100" s="6" t="s">
        <v>536</v>
      </c>
      <c r="G100" s="6" t="s">
        <v>537</v>
      </c>
      <c r="H100" s="6">
        <v>2024</v>
      </c>
    </row>
    <row r="101" spans="2:8" ht="17" thickBot="1" x14ac:dyDescent="0.45">
      <c r="B101" s="9" t="s">
        <v>75</v>
      </c>
      <c r="C101" s="6" t="s">
        <v>538</v>
      </c>
      <c r="D101" s="6" t="s">
        <v>539</v>
      </c>
      <c r="E101" s="6" t="s">
        <v>540</v>
      </c>
      <c r="F101" s="6" t="s">
        <v>541</v>
      </c>
      <c r="G101" s="6" t="s">
        <v>542</v>
      </c>
      <c r="H101" s="6">
        <v>2024</v>
      </c>
    </row>
    <row r="102" spans="2:8" ht="17" thickBot="1" x14ac:dyDescent="0.45">
      <c r="B102" s="9" t="s">
        <v>76</v>
      </c>
      <c r="C102" s="6" t="s">
        <v>543</v>
      </c>
      <c r="D102" s="6" t="s">
        <v>544</v>
      </c>
      <c r="E102" s="6" t="s">
        <v>545</v>
      </c>
      <c r="F102" s="6" t="s">
        <v>546</v>
      </c>
      <c r="G102" s="6" t="s">
        <v>547</v>
      </c>
      <c r="H102" s="6">
        <v>2024</v>
      </c>
    </row>
    <row r="103" spans="2:8" ht="17" thickBot="1" x14ac:dyDescent="0.45">
      <c r="B103" s="9" t="s">
        <v>77</v>
      </c>
      <c r="C103" s="6" t="s">
        <v>77</v>
      </c>
      <c r="D103" s="6" t="s">
        <v>130</v>
      </c>
      <c r="E103" s="6" t="s">
        <v>548</v>
      </c>
      <c r="F103" s="6" t="s">
        <v>549</v>
      </c>
      <c r="G103" s="6" t="s">
        <v>550</v>
      </c>
      <c r="H103" s="6">
        <v>2024</v>
      </c>
    </row>
  </sheetData>
  <conditionalFormatting sqref="B3:B103 I103:I1048576 I1">
    <cfRule type="duplicateValues" dxfId="0" priority="2"/>
  </conditionalFormatting>
  <hyperlinks>
    <hyperlink ref="E3" r:id="rId1" display="https://www.3i.com/" xr:uid="{18CEF5C1-D0F5-4CFA-99E8-775C34DFF668}"/>
    <hyperlink ref="G3" r:id="rId2" display="https://www.editor.3i.com/investor-relations/report-library/2023/annual-report-and-accounts-2023-highlights/" xr:uid="{D80E6D6D-4485-45EB-A9D7-A5DDDADE75A7}"/>
    <hyperlink ref="G4" r:id="rId3" display="https://www.admiralgroup.co.uk/news-releases/news-release-details/annual-financial-report-0" xr:uid="{1B6535BE-BB92-4D9C-B57B-7EB26681D834}"/>
    <hyperlink ref="F6" r:id="rId4" display="https://www.alliancewitan.com/landing-pages/announcement" xr:uid="{31D2639D-FD38-43B1-BDE4-0B932C78B951}"/>
    <hyperlink ref="G6" r:id="rId5" display="https://www.alliancewitan.com/landing-pages/announcement" xr:uid="{2B30AA1B-1BA7-4345-A838-D6EBE969B473}"/>
    <hyperlink ref="E11" r:id="rId6" display="https://en.wikipedia.org/wiki/FTSE_100_Index" xr:uid="{D7F67D78-9EF4-45A1-9E2F-EDA51FC7B505}"/>
    <hyperlink ref="F11" r:id="rId7" display="https://en.wikipedia.org/wiki/FTSE_100_Index" xr:uid="{1147E47F-0EB7-487D-BB9A-CA700C8E0522}"/>
    <hyperlink ref="G11" r:id="rId8" display="https://en.wikipedia.org/wiki/FTSE_100_Index" xr:uid="{DB3D6838-B8CC-43C1-B68E-63CF3EF198CE}"/>
    <hyperlink ref="E12" r:id="rId9" display="https://en.wikipedia.org/wiki/FTSE_100_Index" xr:uid="{72FCF8F5-ADEB-45ED-A849-82F4C3B0B9CF}"/>
    <hyperlink ref="F20" r:id="rId10" display="https://www.bp.com/en/global/corporate/investors/results-reporting-and-presentations/annual-report.html" xr:uid="{86285E24-CFB6-4308-A752-83272DD55E29}"/>
    <hyperlink ref="G20" r:id="rId11" display="https://www.bp.com/en/global/corporate/investors/results-reporting-and-presentations/annual-report.html" xr:uid="{56A8F67D-2720-404A-8D7C-B490D48F5B30}"/>
    <hyperlink ref="C95" r:id="rId12" display="https://topforeignstocks.com/indices/components-of-the-ftse-100-index/" xr:uid="{DF603B89-B357-4877-8A76-DA68562DCAAB}"/>
    <hyperlink ref="E95" r:id="rId13" display="https://topforeignstocks.com/indices/components-of-the-ftse-100-index/" xr:uid="{FF5DA15D-9D74-42A5-AAA5-2B8AFC9DB4CA}"/>
    <hyperlink ref="F95" r:id="rId14" display="https://topforeignstocks.com/indices/components-of-the-ftse-100-index/" xr:uid="{68AC701E-6E80-4A52-AFED-35DB0BE41E55}"/>
    <hyperlink ref="G95" r:id="rId15" display="https://topforeignstocks.com/indices/components-of-the-ftse-100-index/" xr:uid="{1ABA2655-9D17-492D-A6AE-11608D58B754}"/>
    <hyperlink ref="F96" r:id="rId16" display="https://topforeignstocks.com/indices/components-of-the-ftse-100-index/" xr:uid="{4168ACA8-C0CF-4F68-8D8D-03C390A3F3F5}"/>
    <hyperlink ref="G96" r:id="rId17" display="https://topforeignstocks.com/indices/components-of-the-ftse-100-index/" xr:uid="{2E91FF60-50C4-4FF5-B1DD-44168E12129D}"/>
    <hyperlink ref="C98" r:id="rId18" display="https://topforeignstocks.com/indices/components-of-the-ftse-100-index/" xr:uid="{363E12A4-8063-4103-9047-B328231D3935}"/>
    <hyperlink ref="D98" r:id="rId19" display="https://topforeignstocks.com/indices/components-of-the-ftse-100-index/" xr:uid="{F0914B2A-2745-4049-8C0E-E3902211B452}"/>
    <hyperlink ref="E98" r:id="rId20" display="https://topforeignstocks.com/indices/components-of-the-ftse-100-index/" xr:uid="{E0B2E59E-62FA-458A-BE62-0EC58FF55F73}"/>
    <hyperlink ref="F98" r:id="rId21" display="https://topforeignstocks.com/indices/components-of-the-ftse-100-index/" xr:uid="{E22B1EC6-D0AD-4AF2-8C7E-CADFC4EABF23}"/>
    <hyperlink ref="G98" r:id="rId22" display="https://topforeignstocks.com/indices/components-of-the-ftse-100-index/" xr:uid="{875B61AE-C199-462D-A5C5-7375E4CEB645}"/>
  </hyperlinks>
  <pageMargins left="0.7" right="0.7" top="0.75" bottom="0.75" header="0.3" footer="0.3"/>
  <tableParts count="1">
    <tablePart r:id="rId23"/>
  </tableParts>
</worksheet>
</file>

<file path=docMetadata/LabelInfo.xml><?xml version="1.0" encoding="utf-8"?>
<clbl:labelList xmlns:clbl="http://schemas.microsoft.com/office/2020/mipLabelMetadata">
  <clbl:label id="{09b83762-2b93-40c8-b28f-c8ea36d4b723}" enabled="0" method="" siteId="{09b83762-2b93-40c8-b28f-c8ea36d4b7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ESG Structure</vt:lpstr>
      <vt:lpstr>Environment </vt:lpstr>
      <vt:lpstr>Social</vt:lpstr>
      <vt:lpstr>Governance</vt:lpstr>
      <vt:lpstr>Methods</vt:lpstr>
      <vt:lpstr>Master Company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2026-02-25T12:52:09Z</dcterms:created>
  <dcterms:modified xsi:type="dcterms:W3CDTF">2026-04-08T11:36:24Z</dcterms:modified>
</cp:coreProperties>
</file>